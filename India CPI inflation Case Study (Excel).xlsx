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rudh\Downloads\"/>
    </mc:Choice>
  </mc:AlternateContent>
  <xr:revisionPtr revIDLastSave="0" documentId="13_ncr:1_{215C6652-AF72-4634-ABF9-2F8F5C1791D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ll_India_Index_Upto_April23 (1" sheetId="1" r:id="rId1"/>
    <sheet name="Main Data" sheetId="2" r:id="rId2"/>
    <sheet name="Changes" sheetId="3" r:id="rId3"/>
    <sheet name="Objective 1" sheetId="7" r:id="rId4"/>
    <sheet name="Objective 2" sheetId="8" r:id="rId5"/>
    <sheet name="Objective 3" sheetId="9" r:id="rId6"/>
    <sheet name="Objective 4" sheetId="11" r:id="rId7"/>
    <sheet name="Objective 5" sheetId="14" r:id="rId8"/>
  </sheets>
  <definedNames>
    <definedName name="_xlnm._FilterDatabase" localSheetId="0" hidden="1">'All_India_Index_Upto_April23 (1'!$A$1:$AD$373</definedName>
    <definedName name="_xlnm._FilterDatabase" localSheetId="1" hidden="1">'Main Data'!$A$1:$AE$373</definedName>
  </definedNames>
  <calcPr calcId="191029"/>
</workbook>
</file>

<file path=xl/calcChain.xml><?xml version="1.0" encoding="utf-8"?>
<calcChain xmlns="http://schemas.openxmlformats.org/spreadsheetml/2006/main">
  <c r="I31" i="14" l="1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G2" i="11" l="1"/>
  <c r="F2" i="11"/>
  <c r="E2" i="11"/>
  <c r="G4" i="11"/>
  <c r="G5" i="11"/>
  <c r="G6" i="11"/>
  <c r="F4" i="11"/>
  <c r="F5" i="11"/>
  <c r="F6" i="11"/>
  <c r="F3" i="11"/>
  <c r="G3" i="11"/>
  <c r="E4" i="11"/>
  <c r="E5" i="11"/>
  <c r="E6" i="11"/>
  <c r="E3" i="11"/>
  <c r="M20" i="9"/>
  <c r="M21" i="9"/>
  <c r="M22" i="9"/>
  <c r="M23" i="9"/>
  <c r="M24" i="9"/>
  <c r="M25" i="9"/>
  <c r="M26" i="9"/>
  <c r="M27" i="9"/>
  <c r="M28" i="9"/>
  <c r="M29" i="9"/>
  <c r="M30" i="9"/>
  <c r="M31" i="9"/>
  <c r="M19" i="9"/>
  <c r="G22" i="9"/>
  <c r="G23" i="9"/>
  <c r="G24" i="9"/>
  <c r="G25" i="9"/>
  <c r="G26" i="9"/>
  <c r="G27" i="9"/>
  <c r="G28" i="9"/>
  <c r="G29" i="9"/>
  <c r="G30" i="9"/>
  <c r="G21" i="9"/>
  <c r="G20" i="9"/>
  <c r="D9" i="7" l="1"/>
  <c r="G6" i="7" s="1"/>
  <c r="C9" i="7"/>
  <c r="F5" i="7" s="1"/>
  <c r="B9" i="7"/>
  <c r="E8" i="7" s="1"/>
  <c r="AR110" i="2"/>
  <c r="AR111" i="2" s="1"/>
  <c r="AQ110" i="2"/>
  <c r="AQ111" i="2" s="1"/>
  <c r="AP110" i="2"/>
  <c r="AP111" i="2" s="1"/>
  <c r="AO110" i="2"/>
  <c r="AO111" i="2" s="1"/>
  <c r="AN110" i="2"/>
  <c r="AN111" i="2" s="1"/>
  <c r="AM110" i="2"/>
  <c r="AM111" i="2" s="1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2" i="2"/>
  <c r="AE265" i="2"/>
  <c r="AE264" i="2"/>
  <c r="AE263" i="2"/>
  <c r="AE262" i="2"/>
  <c r="AE261" i="2"/>
  <c r="AE260" i="2"/>
  <c r="AD265" i="2"/>
  <c r="AD264" i="2"/>
  <c r="AD263" i="2"/>
  <c r="AD262" i="2"/>
  <c r="AD261" i="2"/>
  <c r="AD260" i="2"/>
  <c r="AC265" i="2"/>
  <c r="AC264" i="2"/>
  <c r="AC263" i="2"/>
  <c r="AC262" i="2"/>
  <c r="AJ262" i="2" s="1"/>
  <c r="AC261" i="2"/>
  <c r="AJ261" i="2" s="1"/>
  <c r="AC260" i="2"/>
  <c r="AJ260" i="2" s="1"/>
  <c r="AB265" i="2"/>
  <c r="AB264" i="2"/>
  <c r="AB263" i="2"/>
  <c r="AB262" i="2"/>
  <c r="AB261" i="2"/>
  <c r="AB260" i="2"/>
  <c r="AA265" i="2"/>
  <c r="AA264" i="2"/>
  <c r="AA263" i="2"/>
  <c r="AA262" i="2"/>
  <c r="AA261" i="2"/>
  <c r="AA260" i="2"/>
  <c r="Z265" i="2"/>
  <c r="Z264" i="2"/>
  <c r="Z263" i="2"/>
  <c r="Z262" i="2"/>
  <c r="AH262" i="2" s="1"/>
  <c r="Z261" i="2"/>
  <c r="AH261" i="2" s="1"/>
  <c r="Z260" i="2"/>
  <c r="AH260" i="2" s="1"/>
  <c r="Y265" i="2"/>
  <c r="AJ265" i="2" s="1"/>
  <c r="Y264" i="2"/>
  <c r="AJ264" i="2" s="1"/>
  <c r="Y263" i="2"/>
  <c r="AJ263" i="2" s="1"/>
  <c r="X265" i="2"/>
  <c r="X264" i="2"/>
  <c r="X263" i="2"/>
  <c r="X262" i="2"/>
  <c r="X261" i="2"/>
  <c r="X260" i="2"/>
  <c r="W265" i="2"/>
  <c r="W264" i="2"/>
  <c r="W263" i="2"/>
  <c r="R265" i="2"/>
  <c r="R264" i="2"/>
  <c r="R263" i="2"/>
  <c r="R262" i="2"/>
  <c r="R261" i="2"/>
  <c r="R260" i="2"/>
  <c r="Q265" i="2"/>
  <c r="Q264" i="2"/>
  <c r="Q263" i="2"/>
  <c r="Q262" i="2"/>
  <c r="Q261" i="2"/>
  <c r="Q260" i="2"/>
  <c r="P265" i="2"/>
  <c r="P264" i="2"/>
  <c r="P263" i="2"/>
  <c r="O265" i="2"/>
  <c r="O264" i="2"/>
  <c r="O263" i="2"/>
  <c r="O262" i="2"/>
  <c r="O261" i="2"/>
  <c r="O260" i="2"/>
  <c r="N265" i="2"/>
  <c r="N264" i="2"/>
  <c r="N263" i="2"/>
  <c r="M265" i="2"/>
  <c r="M264" i="2"/>
  <c r="M263" i="2"/>
  <c r="L265" i="2"/>
  <c r="L264" i="2"/>
  <c r="L263" i="2"/>
  <c r="K265" i="2"/>
  <c r="K264" i="2"/>
  <c r="K263" i="2"/>
  <c r="J265" i="2"/>
  <c r="J264" i="2"/>
  <c r="J263" i="2"/>
  <c r="I265" i="2"/>
  <c r="I264" i="2"/>
  <c r="I263" i="2"/>
  <c r="H265" i="2"/>
  <c r="H264" i="2"/>
  <c r="H263" i="2"/>
  <c r="G265" i="2"/>
  <c r="G264" i="2"/>
  <c r="G263" i="2"/>
  <c r="F265" i="2"/>
  <c r="F264" i="2"/>
  <c r="F263" i="2"/>
  <c r="E265" i="2"/>
  <c r="E264" i="2"/>
  <c r="E263" i="2"/>
  <c r="E262" i="2"/>
  <c r="E261" i="2"/>
  <c r="E260" i="2"/>
  <c r="U264" i="2"/>
  <c r="V263" i="2" s="1"/>
  <c r="V3" i="2"/>
  <c r="AI3" i="2" s="1"/>
  <c r="V4" i="2"/>
  <c r="AI4" i="2" s="1"/>
  <c r="V5" i="2"/>
  <c r="AI5" i="2" s="1"/>
  <c r="V6" i="2"/>
  <c r="AI6" i="2" s="1"/>
  <c r="V7" i="2"/>
  <c r="AI7" i="2" s="1"/>
  <c r="V8" i="2"/>
  <c r="AI8" i="2" s="1"/>
  <c r="V9" i="2"/>
  <c r="AI9" i="2" s="1"/>
  <c r="V10" i="2"/>
  <c r="AI10" i="2" s="1"/>
  <c r="V11" i="2"/>
  <c r="AI11" i="2" s="1"/>
  <c r="V12" i="2"/>
  <c r="AI12" i="2" s="1"/>
  <c r="V13" i="2"/>
  <c r="AI13" i="2" s="1"/>
  <c r="V14" i="2"/>
  <c r="AI14" i="2" s="1"/>
  <c r="V15" i="2"/>
  <c r="AI15" i="2" s="1"/>
  <c r="V16" i="2"/>
  <c r="AI16" i="2" s="1"/>
  <c r="V17" i="2"/>
  <c r="AI17" i="2" s="1"/>
  <c r="V18" i="2"/>
  <c r="AI18" i="2" s="1"/>
  <c r="V19" i="2"/>
  <c r="AI19" i="2" s="1"/>
  <c r="V20" i="2"/>
  <c r="AI20" i="2" s="1"/>
  <c r="V21" i="2"/>
  <c r="AI21" i="2" s="1"/>
  <c r="V22" i="2"/>
  <c r="AI22" i="2" s="1"/>
  <c r="V23" i="2"/>
  <c r="AI23" i="2" s="1"/>
  <c r="V24" i="2"/>
  <c r="AI24" i="2" s="1"/>
  <c r="V25" i="2"/>
  <c r="AI25" i="2" s="1"/>
  <c r="V26" i="2"/>
  <c r="AI26" i="2" s="1"/>
  <c r="V27" i="2"/>
  <c r="AI27" i="2" s="1"/>
  <c r="V28" i="2"/>
  <c r="AI28" i="2" s="1"/>
  <c r="V29" i="2"/>
  <c r="AI29" i="2" s="1"/>
  <c r="V30" i="2"/>
  <c r="AI30" i="2" s="1"/>
  <c r="V31" i="2"/>
  <c r="AI31" i="2" s="1"/>
  <c r="V32" i="2"/>
  <c r="AI32" i="2" s="1"/>
  <c r="V33" i="2"/>
  <c r="AI33" i="2" s="1"/>
  <c r="V34" i="2"/>
  <c r="AI34" i="2" s="1"/>
  <c r="V35" i="2"/>
  <c r="AI35" i="2" s="1"/>
  <c r="V36" i="2"/>
  <c r="AI36" i="2" s="1"/>
  <c r="V37" i="2"/>
  <c r="AI37" i="2" s="1"/>
  <c r="V38" i="2"/>
  <c r="AI38" i="2" s="1"/>
  <c r="V39" i="2"/>
  <c r="AI39" i="2" s="1"/>
  <c r="V40" i="2"/>
  <c r="AI40" i="2" s="1"/>
  <c r="V41" i="2"/>
  <c r="AI41" i="2" s="1"/>
  <c r="V42" i="2"/>
  <c r="AI42" i="2" s="1"/>
  <c r="V43" i="2"/>
  <c r="AI43" i="2" s="1"/>
  <c r="V44" i="2"/>
  <c r="AI44" i="2" s="1"/>
  <c r="V45" i="2"/>
  <c r="AI45" i="2" s="1"/>
  <c r="V46" i="2"/>
  <c r="AI46" i="2" s="1"/>
  <c r="V47" i="2"/>
  <c r="AI47" i="2" s="1"/>
  <c r="V48" i="2"/>
  <c r="AI48" i="2" s="1"/>
  <c r="V49" i="2"/>
  <c r="AI49" i="2" s="1"/>
  <c r="V50" i="2"/>
  <c r="AI50" i="2" s="1"/>
  <c r="V51" i="2"/>
  <c r="AI51" i="2" s="1"/>
  <c r="V52" i="2"/>
  <c r="AI52" i="2" s="1"/>
  <c r="V53" i="2"/>
  <c r="AI53" i="2" s="1"/>
  <c r="V54" i="2"/>
  <c r="AI54" i="2" s="1"/>
  <c r="V55" i="2"/>
  <c r="AI55" i="2" s="1"/>
  <c r="V56" i="2"/>
  <c r="AI56" i="2" s="1"/>
  <c r="V57" i="2"/>
  <c r="AI57" i="2" s="1"/>
  <c r="V58" i="2"/>
  <c r="AI58" i="2" s="1"/>
  <c r="V59" i="2"/>
  <c r="AI59" i="2" s="1"/>
  <c r="V60" i="2"/>
  <c r="AI60" i="2" s="1"/>
  <c r="V61" i="2"/>
  <c r="AI61" i="2" s="1"/>
  <c r="V62" i="2"/>
  <c r="AI62" i="2" s="1"/>
  <c r="V63" i="2"/>
  <c r="AI63" i="2" s="1"/>
  <c r="V64" i="2"/>
  <c r="AI64" i="2" s="1"/>
  <c r="V65" i="2"/>
  <c r="AI65" i="2" s="1"/>
  <c r="V66" i="2"/>
  <c r="AI66" i="2" s="1"/>
  <c r="V67" i="2"/>
  <c r="AI67" i="2" s="1"/>
  <c r="V68" i="2"/>
  <c r="AI68" i="2" s="1"/>
  <c r="V69" i="2"/>
  <c r="AI69" i="2" s="1"/>
  <c r="V70" i="2"/>
  <c r="AI70" i="2" s="1"/>
  <c r="V71" i="2"/>
  <c r="AI71" i="2" s="1"/>
  <c r="V72" i="2"/>
  <c r="AI72" i="2" s="1"/>
  <c r="V73" i="2"/>
  <c r="AI73" i="2" s="1"/>
  <c r="V74" i="2"/>
  <c r="AI74" i="2" s="1"/>
  <c r="V75" i="2"/>
  <c r="AI75" i="2" s="1"/>
  <c r="V76" i="2"/>
  <c r="AI76" i="2" s="1"/>
  <c r="V77" i="2"/>
  <c r="AI77" i="2" s="1"/>
  <c r="V78" i="2"/>
  <c r="AI78" i="2" s="1"/>
  <c r="V79" i="2"/>
  <c r="AI79" i="2" s="1"/>
  <c r="V80" i="2"/>
  <c r="AI80" i="2" s="1"/>
  <c r="V81" i="2"/>
  <c r="AI81" i="2" s="1"/>
  <c r="V82" i="2"/>
  <c r="AI82" i="2" s="1"/>
  <c r="V83" i="2"/>
  <c r="AI83" i="2" s="1"/>
  <c r="V84" i="2"/>
  <c r="AI84" i="2" s="1"/>
  <c r="V85" i="2"/>
  <c r="AI85" i="2" s="1"/>
  <c r="V86" i="2"/>
  <c r="AI86" i="2" s="1"/>
  <c r="V87" i="2"/>
  <c r="AI87" i="2" s="1"/>
  <c r="V88" i="2"/>
  <c r="AI88" i="2" s="1"/>
  <c r="V89" i="2"/>
  <c r="AI89" i="2" s="1"/>
  <c r="V90" i="2"/>
  <c r="AI90" i="2" s="1"/>
  <c r="V91" i="2"/>
  <c r="AI91" i="2" s="1"/>
  <c r="V92" i="2"/>
  <c r="AI92" i="2" s="1"/>
  <c r="V93" i="2"/>
  <c r="AI93" i="2" s="1"/>
  <c r="V94" i="2"/>
  <c r="AI94" i="2" s="1"/>
  <c r="V95" i="2"/>
  <c r="AI95" i="2" s="1"/>
  <c r="V96" i="2"/>
  <c r="AI96" i="2" s="1"/>
  <c r="V97" i="2"/>
  <c r="AI97" i="2" s="1"/>
  <c r="V98" i="2"/>
  <c r="AI98" i="2" s="1"/>
  <c r="V99" i="2"/>
  <c r="AI99" i="2" s="1"/>
  <c r="V100" i="2"/>
  <c r="AI100" i="2" s="1"/>
  <c r="V101" i="2"/>
  <c r="AI101" i="2" s="1"/>
  <c r="V102" i="2"/>
  <c r="AI102" i="2" s="1"/>
  <c r="V103" i="2"/>
  <c r="AI103" i="2" s="1"/>
  <c r="V104" i="2"/>
  <c r="AI104" i="2" s="1"/>
  <c r="V105" i="2"/>
  <c r="AI105" i="2" s="1"/>
  <c r="V106" i="2"/>
  <c r="AI106" i="2" s="1"/>
  <c r="V107" i="2"/>
  <c r="AI107" i="2" s="1"/>
  <c r="V108" i="2"/>
  <c r="AI108" i="2" s="1"/>
  <c r="V109" i="2"/>
  <c r="AI109" i="2" s="1"/>
  <c r="V110" i="2"/>
  <c r="AI110" i="2" s="1"/>
  <c r="V111" i="2"/>
  <c r="AI111" i="2" s="1"/>
  <c r="V112" i="2"/>
  <c r="AI112" i="2" s="1"/>
  <c r="V113" i="2"/>
  <c r="AI113" i="2" s="1"/>
  <c r="V114" i="2"/>
  <c r="AI114" i="2" s="1"/>
  <c r="V115" i="2"/>
  <c r="AI115" i="2" s="1"/>
  <c r="V116" i="2"/>
  <c r="AI116" i="2" s="1"/>
  <c r="V117" i="2"/>
  <c r="AI117" i="2" s="1"/>
  <c r="V118" i="2"/>
  <c r="AI118" i="2" s="1"/>
  <c r="V119" i="2"/>
  <c r="AI119" i="2" s="1"/>
  <c r="V120" i="2"/>
  <c r="AI120" i="2" s="1"/>
  <c r="V121" i="2"/>
  <c r="AI121" i="2" s="1"/>
  <c r="V122" i="2"/>
  <c r="AI122" i="2" s="1"/>
  <c r="V123" i="2"/>
  <c r="AI123" i="2" s="1"/>
  <c r="V124" i="2"/>
  <c r="AI124" i="2" s="1"/>
  <c r="V125" i="2"/>
  <c r="AI125" i="2" s="1"/>
  <c r="V126" i="2"/>
  <c r="AI126" i="2" s="1"/>
  <c r="V127" i="2"/>
  <c r="AI127" i="2" s="1"/>
  <c r="V128" i="2"/>
  <c r="AI128" i="2" s="1"/>
  <c r="V129" i="2"/>
  <c r="AI129" i="2" s="1"/>
  <c r="V130" i="2"/>
  <c r="AI130" i="2" s="1"/>
  <c r="V131" i="2"/>
  <c r="AI131" i="2" s="1"/>
  <c r="V132" i="2"/>
  <c r="AI132" i="2" s="1"/>
  <c r="V133" i="2"/>
  <c r="AI133" i="2" s="1"/>
  <c r="V134" i="2"/>
  <c r="AI134" i="2" s="1"/>
  <c r="V135" i="2"/>
  <c r="AI135" i="2" s="1"/>
  <c r="V136" i="2"/>
  <c r="AI136" i="2" s="1"/>
  <c r="V137" i="2"/>
  <c r="AI137" i="2" s="1"/>
  <c r="V138" i="2"/>
  <c r="AI138" i="2" s="1"/>
  <c r="V139" i="2"/>
  <c r="AI139" i="2" s="1"/>
  <c r="V140" i="2"/>
  <c r="AI140" i="2" s="1"/>
  <c r="V141" i="2"/>
  <c r="AI141" i="2" s="1"/>
  <c r="V142" i="2"/>
  <c r="AI142" i="2" s="1"/>
  <c r="V143" i="2"/>
  <c r="AI143" i="2" s="1"/>
  <c r="V144" i="2"/>
  <c r="AI144" i="2" s="1"/>
  <c r="V145" i="2"/>
  <c r="AI145" i="2" s="1"/>
  <c r="V146" i="2"/>
  <c r="AI146" i="2" s="1"/>
  <c r="V147" i="2"/>
  <c r="AI147" i="2" s="1"/>
  <c r="V148" i="2"/>
  <c r="AI148" i="2" s="1"/>
  <c r="V149" i="2"/>
  <c r="AI149" i="2" s="1"/>
  <c r="V150" i="2"/>
  <c r="AI150" i="2" s="1"/>
  <c r="V151" i="2"/>
  <c r="AI151" i="2" s="1"/>
  <c r="V152" i="2"/>
  <c r="AI152" i="2" s="1"/>
  <c r="V153" i="2"/>
  <c r="AI153" i="2" s="1"/>
  <c r="V154" i="2"/>
  <c r="AI154" i="2" s="1"/>
  <c r="V155" i="2"/>
  <c r="AI155" i="2" s="1"/>
  <c r="V156" i="2"/>
  <c r="AI156" i="2" s="1"/>
  <c r="V157" i="2"/>
  <c r="AI157" i="2" s="1"/>
  <c r="V158" i="2"/>
  <c r="AI158" i="2" s="1"/>
  <c r="V159" i="2"/>
  <c r="AI159" i="2" s="1"/>
  <c r="V160" i="2"/>
  <c r="AI160" i="2" s="1"/>
  <c r="V161" i="2"/>
  <c r="AI161" i="2" s="1"/>
  <c r="V162" i="2"/>
  <c r="AI162" i="2" s="1"/>
  <c r="V163" i="2"/>
  <c r="AI163" i="2" s="1"/>
  <c r="V164" i="2"/>
  <c r="AI164" i="2" s="1"/>
  <c r="V165" i="2"/>
  <c r="AI165" i="2" s="1"/>
  <c r="V166" i="2"/>
  <c r="AI166" i="2" s="1"/>
  <c r="V167" i="2"/>
  <c r="AI167" i="2" s="1"/>
  <c r="V168" i="2"/>
  <c r="AI168" i="2" s="1"/>
  <c r="V169" i="2"/>
  <c r="AI169" i="2" s="1"/>
  <c r="V170" i="2"/>
  <c r="AI170" i="2" s="1"/>
  <c r="V171" i="2"/>
  <c r="AI171" i="2" s="1"/>
  <c r="V172" i="2"/>
  <c r="AI172" i="2" s="1"/>
  <c r="V173" i="2"/>
  <c r="AI173" i="2" s="1"/>
  <c r="V174" i="2"/>
  <c r="AI174" i="2" s="1"/>
  <c r="V175" i="2"/>
  <c r="AI175" i="2" s="1"/>
  <c r="V176" i="2"/>
  <c r="AI176" i="2" s="1"/>
  <c r="V177" i="2"/>
  <c r="AI177" i="2" s="1"/>
  <c r="V178" i="2"/>
  <c r="AI178" i="2" s="1"/>
  <c r="V179" i="2"/>
  <c r="AI179" i="2" s="1"/>
  <c r="V180" i="2"/>
  <c r="AI180" i="2" s="1"/>
  <c r="V181" i="2"/>
  <c r="AI181" i="2" s="1"/>
  <c r="V182" i="2"/>
  <c r="AI182" i="2" s="1"/>
  <c r="V183" i="2"/>
  <c r="AI183" i="2" s="1"/>
  <c r="V184" i="2"/>
  <c r="AI184" i="2" s="1"/>
  <c r="V185" i="2"/>
  <c r="AI185" i="2" s="1"/>
  <c r="V186" i="2"/>
  <c r="AI186" i="2" s="1"/>
  <c r="V187" i="2"/>
  <c r="AI187" i="2" s="1"/>
  <c r="V188" i="2"/>
  <c r="AI188" i="2" s="1"/>
  <c r="V189" i="2"/>
  <c r="AI189" i="2" s="1"/>
  <c r="V190" i="2"/>
  <c r="AI190" i="2" s="1"/>
  <c r="V191" i="2"/>
  <c r="AI191" i="2" s="1"/>
  <c r="V192" i="2"/>
  <c r="AI192" i="2" s="1"/>
  <c r="V193" i="2"/>
  <c r="AI193" i="2" s="1"/>
  <c r="V194" i="2"/>
  <c r="AI194" i="2" s="1"/>
  <c r="V195" i="2"/>
  <c r="AI195" i="2" s="1"/>
  <c r="V196" i="2"/>
  <c r="AI196" i="2" s="1"/>
  <c r="V197" i="2"/>
  <c r="AI197" i="2" s="1"/>
  <c r="V198" i="2"/>
  <c r="AI198" i="2" s="1"/>
  <c r="V199" i="2"/>
  <c r="AI199" i="2" s="1"/>
  <c r="V200" i="2"/>
  <c r="AI200" i="2" s="1"/>
  <c r="V201" i="2"/>
  <c r="AI201" i="2" s="1"/>
  <c r="V202" i="2"/>
  <c r="AI202" i="2" s="1"/>
  <c r="V203" i="2"/>
  <c r="AI203" i="2" s="1"/>
  <c r="V204" i="2"/>
  <c r="AI204" i="2" s="1"/>
  <c r="V205" i="2"/>
  <c r="AI205" i="2" s="1"/>
  <c r="V206" i="2"/>
  <c r="AI206" i="2" s="1"/>
  <c r="V207" i="2"/>
  <c r="AI207" i="2" s="1"/>
  <c r="V208" i="2"/>
  <c r="AI208" i="2" s="1"/>
  <c r="V209" i="2"/>
  <c r="AI209" i="2" s="1"/>
  <c r="V210" i="2"/>
  <c r="AI210" i="2" s="1"/>
  <c r="V211" i="2"/>
  <c r="AI211" i="2" s="1"/>
  <c r="V212" i="2"/>
  <c r="AI212" i="2" s="1"/>
  <c r="V213" i="2"/>
  <c r="AI213" i="2" s="1"/>
  <c r="V214" i="2"/>
  <c r="AI214" i="2" s="1"/>
  <c r="V215" i="2"/>
  <c r="AI215" i="2" s="1"/>
  <c r="V216" i="2"/>
  <c r="AI216" i="2" s="1"/>
  <c r="V217" i="2"/>
  <c r="AI217" i="2" s="1"/>
  <c r="V218" i="2"/>
  <c r="AI218" i="2" s="1"/>
  <c r="V219" i="2"/>
  <c r="AI219" i="2" s="1"/>
  <c r="V220" i="2"/>
  <c r="AI220" i="2" s="1"/>
  <c r="V221" i="2"/>
  <c r="AI221" i="2" s="1"/>
  <c r="V222" i="2"/>
  <c r="AI222" i="2" s="1"/>
  <c r="V223" i="2"/>
  <c r="AI223" i="2" s="1"/>
  <c r="V224" i="2"/>
  <c r="AI224" i="2" s="1"/>
  <c r="V225" i="2"/>
  <c r="AI225" i="2" s="1"/>
  <c r="V226" i="2"/>
  <c r="AI226" i="2" s="1"/>
  <c r="V227" i="2"/>
  <c r="AI227" i="2" s="1"/>
  <c r="V228" i="2"/>
  <c r="AI228" i="2" s="1"/>
  <c r="V229" i="2"/>
  <c r="AI229" i="2" s="1"/>
  <c r="V230" i="2"/>
  <c r="AI230" i="2" s="1"/>
  <c r="V231" i="2"/>
  <c r="AI231" i="2" s="1"/>
  <c r="V232" i="2"/>
  <c r="AI232" i="2" s="1"/>
  <c r="V233" i="2"/>
  <c r="AI233" i="2" s="1"/>
  <c r="V234" i="2"/>
  <c r="AI234" i="2" s="1"/>
  <c r="V235" i="2"/>
  <c r="AI235" i="2" s="1"/>
  <c r="V236" i="2"/>
  <c r="AI236" i="2" s="1"/>
  <c r="V237" i="2"/>
  <c r="AI237" i="2" s="1"/>
  <c r="V238" i="2"/>
  <c r="AI238" i="2" s="1"/>
  <c r="V239" i="2"/>
  <c r="AI239" i="2" s="1"/>
  <c r="V240" i="2"/>
  <c r="AI240" i="2" s="1"/>
  <c r="V241" i="2"/>
  <c r="AI241" i="2" s="1"/>
  <c r="V242" i="2"/>
  <c r="AI242" i="2" s="1"/>
  <c r="V243" i="2"/>
  <c r="AI243" i="2" s="1"/>
  <c r="V244" i="2"/>
  <c r="AI244" i="2" s="1"/>
  <c r="V245" i="2"/>
  <c r="AI245" i="2" s="1"/>
  <c r="V246" i="2"/>
  <c r="AI246" i="2" s="1"/>
  <c r="V247" i="2"/>
  <c r="AI247" i="2" s="1"/>
  <c r="V248" i="2"/>
  <c r="AI248" i="2" s="1"/>
  <c r="V249" i="2"/>
  <c r="AI249" i="2" s="1"/>
  <c r="V250" i="2"/>
  <c r="AI250" i="2" s="1"/>
  <c r="V251" i="2"/>
  <c r="AI251" i="2" s="1"/>
  <c r="V252" i="2"/>
  <c r="AI252" i="2" s="1"/>
  <c r="V253" i="2"/>
  <c r="AI253" i="2" s="1"/>
  <c r="V254" i="2"/>
  <c r="AI254" i="2" s="1"/>
  <c r="V255" i="2"/>
  <c r="AI255" i="2" s="1"/>
  <c r="V256" i="2"/>
  <c r="AI256" i="2" s="1"/>
  <c r="V257" i="2"/>
  <c r="AI257" i="2" s="1"/>
  <c r="V258" i="2"/>
  <c r="AI258" i="2" s="1"/>
  <c r="V259" i="2"/>
  <c r="AI259" i="2" s="1"/>
  <c r="V260" i="2"/>
  <c r="V261" i="2"/>
  <c r="V262" i="2"/>
  <c r="V264" i="2"/>
  <c r="V265" i="2"/>
  <c r="V266" i="2"/>
  <c r="AI266" i="2" s="1"/>
  <c r="V267" i="2"/>
  <c r="AI267" i="2" s="1"/>
  <c r="V268" i="2"/>
  <c r="AI268" i="2" s="1"/>
  <c r="V269" i="2"/>
  <c r="AI269" i="2" s="1"/>
  <c r="V270" i="2"/>
  <c r="AI270" i="2" s="1"/>
  <c r="V271" i="2"/>
  <c r="AI271" i="2" s="1"/>
  <c r="V272" i="2"/>
  <c r="AI272" i="2" s="1"/>
  <c r="V273" i="2"/>
  <c r="AI273" i="2" s="1"/>
  <c r="V274" i="2"/>
  <c r="AI274" i="2" s="1"/>
  <c r="V275" i="2"/>
  <c r="AI275" i="2" s="1"/>
  <c r="V276" i="2"/>
  <c r="AI276" i="2" s="1"/>
  <c r="V277" i="2"/>
  <c r="AI277" i="2" s="1"/>
  <c r="V278" i="2"/>
  <c r="AI278" i="2" s="1"/>
  <c r="V279" i="2"/>
  <c r="AI279" i="2" s="1"/>
  <c r="V280" i="2"/>
  <c r="AI280" i="2" s="1"/>
  <c r="V281" i="2"/>
  <c r="AI281" i="2" s="1"/>
  <c r="V282" i="2"/>
  <c r="AI282" i="2" s="1"/>
  <c r="V283" i="2"/>
  <c r="AI283" i="2" s="1"/>
  <c r="V284" i="2"/>
  <c r="AI284" i="2" s="1"/>
  <c r="V285" i="2"/>
  <c r="AI285" i="2" s="1"/>
  <c r="V286" i="2"/>
  <c r="AI286" i="2" s="1"/>
  <c r="V287" i="2"/>
  <c r="AI287" i="2" s="1"/>
  <c r="V288" i="2"/>
  <c r="AI288" i="2" s="1"/>
  <c r="V289" i="2"/>
  <c r="AI289" i="2" s="1"/>
  <c r="V290" i="2"/>
  <c r="AI290" i="2" s="1"/>
  <c r="V291" i="2"/>
  <c r="AI291" i="2" s="1"/>
  <c r="V292" i="2"/>
  <c r="AI292" i="2" s="1"/>
  <c r="V293" i="2"/>
  <c r="AI293" i="2" s="1"/>
  <c r="V294" i="2"/>
  <c r="AI294" i="2" s="1"/>
  <c r="V295" i="2"/>
  <c r="AI295" i="2" s="1"/>
  <c r="V296" i="2"/>
  <c r="AI296" i="2" s="1"/>
  <c r="V297" i="2"/>
  <c r="AI297" i="2" s="1"/>
  <c r="V298" i="2"/>
  <c r="AI298" i="2" s="1"/>
  <c r="V299" i="2"/>
  <c r="AI299" i="2" s="1"/>
  <c r="V300" i="2"/>
  <c r="AI300" i="2" s="1"/>
  <c r="V301" i="2"/>
  <c r="AI301" i="2" s="1"/>
  <c r="V302" i="2"/>
  <c r="AI302" i="2" s="1"/>
  <c r="V303" i="2"/>
  <c r="AI303" i="2" s="1"/>
  <c r="V304" i="2"/>
  <c r="AI304" i="2" s="1"/>
  <c r="V305" i="2"/>
  <c r="AI305" i="2" s="1"/>
  <c r="V306" i="2"/>
  <c r="AI306" i="2" s="1"/>
  <c r="V307" i="2"/>
  <c r="AI307" i="2" s="1"/>
  <c r="V308" i="2"/>
  <c r="AI308" i="2" s="1"/>
  <c r="V309" i="2"/>
  <c r="AI309" i="2" s="1"/>
  <c r="V310" i="2"/>
  <c r="AI310" i="2" s="1"/>
  <c r="V311" i="2"/>
  <c r="AI311" i="2" s="1"/>
  <c r="V312" i="2"/>
  <c r="AI312" i="2" s="1"/>
  <c r="V313" i="2"/>
  <c r="AI313" i="2" s="1"/>
  <c r="V314" i="2"/>
  <c r="AI314" i="2" s="1"/>
  <c r="V315" i="2"/>
  <c r="AI315" i="2" s="1"/>
  <c r="V316" i="2"/>
  <c r="AI316" i="2" s="1"/>
  <c r="V317" i="2"/>
  <c r="AI317" i="2" s="1"/>
  <c r="V318" i="2"/>
  <c r="AI318" i="2" s="1"/>
  <c r="V319" i="2"/>
  <c r="AI319" i="2" s="1"/>
  <c r="V320" i="2"/>
  <c r="AI320" i="2" s="1"/>
  <c r="V321" i="2"/>
  <c r="AI321" i="2" s="1"/>
  <c r="V322" i="2"/>
  <c r="AI322" i="2" s="1"/>
  <c r="V323" i="2"/>
  <c r="AI323" i="2" s="1"/>
  <c r="V324" i="2"/>
  <c r="AI324" i="2" s="1"/>
  <c r="V325" i="2"/>
  <c r="AI325" i="2" s="1"/>
  <c r="V326" i="2"/>
  <c r="AI326" i="2" s="1"/>
  <c r="V327" i="2"/>
  <c r="AI327" i="2" s="1"/>
  <c r="V328" i="2"/>
  <c r="AI328" i="2" s="1"/>
  <c r="V329" i="2"/>
  <c r="AI329" i="2" s="1"/>
  <c r="V330" i="2"/>
  <c r="AI330" i="2" s="1"/>
  <c r="V331" i="2"/>
  <c r="AI331" i="2" s="1"/>
  <c r="V332" i="2"/>
  <c r="AI332" i="2" s="1"/>
  <c r="V333" i="2"/>
  <c r="AI333" i="2" s="1"/>
  <c r="V334" i="2"/>
  <c r="AI334" i="2" s="1"/>
  <c r="V335" i="2"/>
  <c r="AI335" i="2" s="1"/>
  <c r="V336" i="2"/>
  <c r="AI336" i="2" s="1"/>
  <c r="V337" i="2"/>
  <c r="AI337" i="2" s="1"/>
  <c r="V338" i="2"/>
  <c r="AI338" i="2" s="1"/>
  <c r="V339" i="2"/>
  <c r="AI339" i="2" s="1"/>
  <c r="V340" i="2"/>
  <c r="AI340" i="2" s="1"/>
  <c r="V341" i="2"/>
  <c r="AI341" i="2" s="1"/>
  <c r="V342" i="2"/>
  <c r="AI342" i="2" s="1"/>
  <c r="V343" i="2"/>
  <c r="AI343" i="2" s="1"/>
  <c r="V344" i="2"/>
  <c r="AI344" i="2" s="1"/>
  <c r="V345" i="2"/>
  <c r="AI345" i="2" s="1"/>
  <c r="V346" i="2"/>
  <c r="AI346" i="2" s="1"/>
  <c r="V347" i="2"/>
  <c r="AI347" i="2" s="1"/>
  <c r="V348" i="2"/>
  <c r="AI348" i="2" s="1"/>
  <c r="V349" i="2"/>
  <c r="AI349" i="2" s="1"/>
  <c r="V350" i="2"/>
  <c r="AI350" i="2" s="1"/>
  <c r="V351" i="2"/>
  <c r="AI351" i="2" s="1"/>
  <c r="V352" i="2"/>
  <c r="AI352" i="2" s="1"/>
  <c r="V353" i="2"/>
  <c r="AI353" i="2" s="1"/>
  <c r="V354" i="2"/>
  <c r="AI354" i="2" s="1"/>
  <c r="V355" i="2"/>
  <c r="AI355" i="2" s="1"/>
  <c r="V356" i="2"/>
  <c r="AI356" i="2" s="1"/>
  <c r="V357" i="2"/>
  <c r="AI357" i="2" s="1"/>
  <c r="V358" i="2"/>
  <c r="AI358" i="2" s="1"/>
  <c r="V359" i="2"/>
  <c r="AI359" i="2" s="1"/>
  <c r="V360" i="2"/>
  <c r="AI360" i="2" s="1"/>
  <c r="V361" i="2"/>
  <c r="AI361" i="2" s="1"/>
  <c r="V362" i="2"/>
  <c r="AI362" i="2" s="1"/>
  <c r="V363" i="2"/>
  <c r="AI363" i="2" s="1"/>
  <c r="V364" i="2"/>
  <c r="AI364" i="2" s="1"/>
  <c r="V365" i="2"/>
  <c r="AI365" i="2" s="1"/>
  <c r="V366" i="2"/>
  <c r="AI366" i="2" s="1"/>
  <c r="V367" i="2"/>
  <c r="AI367" i="2" s="1"/>
  <c r="V368" i="2"/>
  <c r="AI368" i="2" s="1"/>
  <c r="V369" i="2"/>
  <c r="AI369" i="2" s="1"/>
  <c r="V370" i="2"/>
  <c r="AI370" i="2" s="1"/>
  <c r="V371" i="2"/>
  <c r="AI371" i="2" s="1"/>
  <c r="V372" i="2"/>
  <c r="AI372" i="2" s="1"/>
  <c r="V373" i="2"/>
  <c r="AI373" i="2" s="1"/>
  <c r="V2" i="2"/>
  <c r="AI2" i="2" s="1"/>
  <c r="D264" i="2"/>
  <c r="D265" i="2"/>
  <c r="D263" i="2"/>
  <c r="T265" i="2"/>
  <c r="T262" i="2"/>
  <c r="S265" i="2"/>
  <c r="S262" i="2"/>
  <c r="T264" i="2"/>
  <c r="T261" i="2"/>
  <c r="S264" i="2"/>
  <c r="S261" i="2"/>
  <c r="T260" i="2"/>
  <c r="T263" i="2"/>
  <c r="S260" i="2"/>
  <c r="S263" i="2" s="1"/>
  <c r="G3" i="7" l="1"/>
  <c r="G4" i="7"/>
  <c r="F6" i="7"/>
  <c r="G7" i="7"/>
  <c r="F7" i="7"/>
  <c r="G8" i="7"/>
  <c r="F4" i="7"/>
  <c r="F8" i="7"/>
  <c r="G5" i="7"/>
  <c r="F3" i="7"/>
  <c r="E5" i="7"/>
  <c r="E6" i="7"/>
  <c r="E3" i="7"/>
  <c r="E7" i="7"/>
  <c r="E4" i="7"/>
  <c r="AF262" i="2"/>
  <c r="AI265" i="2"/>
  <c r="AI260" i="2"/>
  <c r="AF261" i="2"/>
  <c r="AK263" i="2"/>
  <c r="AG261" i="2"/>
  <c r="AF263" i="2"/>
  <c r="AI264" i="2"/>
  <c r="AK260" i="2"/>
  <c r="AK264" i="2"/>
  <c r="AH263" i="2"/>
  <c r="AG265" i="2"/>
  <c r="AF265" i="2"/>
  <c r="AN354" i="2" s="1"/>
  <c r="AI262" i="2"/>
  <c r="AI263" i="2"/>
  <c r="AG263" i="2"/>
  <c r="AH265" i="2"/>
  <c r="AN356" i="2" s="1"/>
  <c r="AG262" i="2"/>
  <c r="AF264" i="2"/>
  <c r="AK261" i="2"/>
  <c r="AK265" i="2"/>
  <c r="AH264" i="2"/>
  <c r="AF260" i="2"/>
  <c r="AK262" i="2"/>
  <c r="AG260" i="2"/>
  <c r="AG264" i="2"/>
  <c r="AI261" i="2"/>
  <c r="AN357" i="2" l="1"/>
</calcChain>
</file>

<file path=xl/sharedStrings.xml><?xml version="1.0" encoding="utf-8"?>
<sst xmlns="http://schemas.openxmlformats.org/spreadsheetml/2006/main" count="2187" uniqueCount="121">
  <si>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</si>
  <si>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</si>
  <si>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</si>
  <si>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</si>
  <si>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</si>
  <si>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</si>
  <si>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</si>
  <si>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</si>
  <si>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</si>
  <si>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</si>
  <si>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</si>
  <si>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</si>
  <si>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</si>
  <si>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</si>
  <si>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</si>
  <si>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</si>
  <si>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</si>
  <si>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</si>
  <si>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</si>
  <si>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</si>
  <si>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</si>
  <si>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</si>
  <si>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</si>
  <si>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</si>
  <si>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</si>
  <si>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</si>
  <si>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</si>
  <si>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</si>
  <si>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</si>
  <si>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</si>
  <si>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</si>
  <si>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</si>
  <si>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</si>
  <si>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</si>
  <si>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</si>
  <si>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</si>
  <si>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</si>
  <si>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</si>
  <si>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</si>
  <si>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</si>
  <si>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</si>
  <si>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</si>
  <si>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</si>
  <si>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</si>
  <si>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</si>
  <si>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</si>
  <si>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</si>
  <si>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</si>
  <si>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</si>
  <si>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Average (March,June,July)</t>
  </si>
  <si>
    <t>Average(February,March,June)</t>
  </si>
  <si>
    <t>Missing values of rural, urban and rural+urban sectors in year 2020 for the month of May and April</t>
  </si>
  <si>
    <t>We have missing data for rural sector</t>
  </si>
  <si>
    <t>Food</t>
  </si>
  <si>
    <t>Appearels</t>
  </si>
  <si>
    <t>Energy</t>
  </si>
  <si>
    <t>Essentials</t>
  </si>
  <si>
    <t>Luxury</t>
  </si>
  <si>
    <t>Row Labels</t>
  </si>
  <si>
    <t>Sum of Food</t>
  </si>
  <si>
    <t>Sum of Appearels</t>
  </si>
  <si>
    <t>Sum of Energy</t>
  </si>
  <si>
    <t>Sum of Essentials</t>
  </si>
  <si>
    <t>Sum of Luxury</t>
  </si>
  <si>
    <t>=</t>
  </si>
  <si>
    <t xml:space="preserve"> Health Services</t>
  </si>
  <si>
    <t>Sum of  Health Services</t>
  </si>
  <si>
    <t>Total</t>
  </si>
  <si>
    <t>Inflation</t>
  </si>
  <si>
    <t>June month has highest food inflation</t>
  </si>
  <si>
    <t>December has lowest food inflation</t>
  </si>
  <si>
    <t xml:space="preserve"> Cereals and products</t>
  </si>
  <si>
    <t xml:space="preserve"> Meat and fish</t>
  </si>
  <si>
    <t xml:space="preserve"> Egg</t>
  </si>
  <si>
    <t xml:space="preserve"> Oils and fats</t>
  </si>
  <si>
    <t xml:space="preserve"> Sugar and Confectionery</t>
  </si>
  <si>
    <t xml:space="preserve"> Fruits</t>
  </si>
  <si>
    <t xml:space="preserve"> Spices</t>
  </si>
  <si>
    <t xml:space="preserve"> Milk and products</t>
  </si>
  <si>
    <t xml:space="preserve"> Non-alcoholic beverages</t>
  </si>
  <si>
    <t xml:space="preserve"> Pulses and products</t>
  </si>
  <si>
    <t xml:space="preserve"> Vegetables</t>
  </si>
  <si>
    <t xml:space="preserve"> Food and beverages</t>
  </si>
  <si>
    <t xml:space="preserve"> Prepared meals, snacks, sweets etc.</t>
  </si>
  <si>
    <t xml:space="preserve">Sum of food bracket </t>
  </si>
  <si>
    <t>Absolute Changes</t>
  </si>
  <si>
    <t>Food Product</t>
  </si>
  <si>
    <t>Absolute Change</t>
  </si>
  <si>
    <t>Spices are the biggest individual category contributor</t>
  </si>
  <si>
    <t>2018-19</t>
  </si>
  <si>
    <t>2019-20</t>
  </si>
  <si>
    <t>2020-21</t>
  </si>
  <si>
    <t>2021-22</t>
  </si>
  <si>
    <t>2022-23</t>
  </si>
  <si>
    <t>Year(Mar-Mar)</t>
  </si>
  <si>
    <t xml:space="preserve">Health Service </t>
  </si>
  <si>
    <t xml:space="preserve">Inflation of food </t>
  </si>
  <si>
    <t>Inflation of Health services</t>
  </si>
  <si>
    <t>Inflation of Essentials</t>
  </si>
  <si>
    <t xml:space="preserve">Health Services </t>
  </si>
  <si>
    <t xml:space="preserve">As we can see from the graph that COVID 19 has almost similar impact </t>
  </si>
  <si>
    <t>on food and health services with more than 17% of inflation.</t>
  </si>
  <si>
    <t>Impact can also be seen on essentials which faced more than</t>
  </si>
  <si>
    <t>10% inflation.</t>
  </si>
  <si>
    <t>Imported Oil Prices</t>
  </si>
  <si>
    <t>Category</t>
  </si>
  <si>
    <t>Correlation</t>
  </si>
  <si>
    <t>Applied if statement after inserting a new column as =if(cell="NA",average(urban,rural+urban),"value of cell")</t>
  </si>
  <si>
    <t>For all other categories</t>
  </si>
  <si>
    <t>We can see that correlation coefficient of Meat and Fish category is highest so this category is impacted most by the fluctuation in oil prices and</t>
  </si>
  <si>
    <t>There is only one category which is negatively affected by fluctuation in oil prices named as egg.</t>
  </si>
  <si>
    <t xml:space="preserve"> is directly proportional which means the index of meat and fish category increases with increase in oil prices.</t>
  </si>
  <si>
    <t xml:space="preserve">Total of six baskets were created namely food, appearels, energy, essentials, health services and luxury   </t>
  </si>
  <si>
    <t>Reasons</t>
  </si>
  <si>
    <t xml:space="preserve">The COVID-19 pandemic triggered widespread lockdowns and restrictions, </t>
  </si>
  <si>
    <t xml:space="preserve">India being a major importer of edible oils, was heavily affected by the </t>
  </si>
  <si>
    <t xml:space="preserve">sharp rise in global edible oil prices due to supply disruptions. </t>
  </si>
  <si>
    <t>Heatwaves and other weather related events impacted crop yields, leading</t>
  </si>
  <si>
    <t>to reduced supply and higher prices for agriculture products.</t>
  </si>
  <si>
    <t xml:space="preserve"> causing disruptions to supply chains and logistics. </t>
  </si>
  <si>
    <t xml:space="preserve">% of contribution of baskets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</si>
</sst>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u/>
      <sz val="11"/>
      <color theme="1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24">
    <xf numFmtId="0" fontId="0" fillId="0" borderId="0" xfId="0"/>
    <xf numFmtId="0" fontId="16" fillId="33" borderId="0" xfId="0" applyFont="1" applyFill="1"/>
    <xf numFmtId="0" fontId="16" fillId="33" borderId="10" xfId="0" applyFont="1" applyFill="1" applyBorder="1"/>
    <xf numFmtId="0" fontId="0" fillId="0" borderId="10" xfId="0" applyBorder="1"/>
    <xf numFmtId="164" fontId="0" fillId="0" borderId="10" xfId="0" applyNumberFormat="1" applyBorder="1"/>
    <xf numFmtId="0" fontId="16" fillId="34" borderId="10" xfId="0" applyFont="1" applyFill="1" applyBorder="1"/>
    <xf numFmtId="0" fontId="0" fillId="34" borderId="10" xfId="0" applyFill="1" applyBorder="1"/>
    <xf numFmtId="0" fontId="0" fillId="34" borderId="0" xfId="0" applyFill="1"/>
    <xf numFmtId="0" fontId="16" fillId="35" borderId="11" xfId="0" applyFont="1" applyFill="1" applyBorder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6" fillId="35" borderId="0" xfId="0" applyFont="1" applyFill="1"/>
    <xf numFmtId="0" fontId="16" fillId="0" borderId="10" xfId="0" applyFont="1" applyBorder="1"/>
    <xf numFmtId="10" fontId="0" fillId="0" borderId="10" xfId="0" applyNumberFormat="1" applyBorder="1"/>
    <xf numFmtId="0" fontId="0" fillId="0" borderId="10" xfId="0" applyBorder="1" applyAlignment="1">
      <alignment horizontal="left"/>
    </xf>
    <xf numFmtId="10" fontId="16" fillId="0" borderId="10" xfId="0" applyNumberFormat="1" applyFont="1" applyBorder="1"/>
    <xf numFmtId="17" fontId="16" fillId="0" borderId="10" xfId="0" applyNumberFormat="1" applyFont="1" applyBorder="1"/>
    <xf numFmtId="10" fontId="16" fillId="0" borderId="10" xfId="0" applyNumberFormat="1" applyFont="1" applyBorder="1" applyAlignment="1">
      <alignment horizontal="left"/>
    </xf>
    <xf numFmtId="0" fontId="0" fillId="0" borderId="12" xfId="0" applyBorder="1"/>
    <xf numFmtId="0" fontId="16" fillId="0" borderId="12" xfId="0" applyFont="1" applyBorder="1"/>
    <xf numFmtId="0" fontId="20" fillId="0" borderId="0" xfId="0" applyFont="1"/>
    <xf numFmtId="10" fontId="21" fillId="0" borderId="0" xfId="0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2" xr:uid="{00000000-0005-0000-0000-000025000000}"/>
    <cellStyle name="Normal 25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'Objective 1'!$B$2</c:f>
              <c:strCache>
                <c:ptCount val="1"/>
                <c:pt idx="0">
                  <c:v>Rural</c:v>
                </c:pt>
              </c:strCache>
            </c:strRef>
          </c:tx>
          <c:cat>
            <c:strRef>
              <c:f>'Objective 1'!$A$3:$A$8</c:f>
              <c:strCache>
                <c:ptCount val="6"/>
                <c:pt idx="0">
                  <c:v>Sum of Food</c:v>
                </c:pt>
                <c:pt idx="1">
                  <c:v>Sum of Appearels</c:v>
                </c:pt>
                <c:pt idx="2">
                  <c:v>Sum of Luxury</c:v>
                </c:pt>
                <c:pt idx="3">
                  <c:v>Sum of  Health Services</c:v>
                </c:pt>
                <c:pt idx="4">
                  <c:v>Sum of Energy</c:v>
                </c:pt>
                <c:pt idx="5">
                  <c:v>Sum of Essentials</c:v>
                </c:pt>
              </c:strCache>
            </c:strRef>
          </c:cat>
          <c:val>
            <c:numRef>
              <c:f>'Objective 1'!$B$3:$B$8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553.20000000000005</c:v>
                </c:pt>
                <c:pt idx="3">
                  <c:v>372.70000000000005</c:v>
                </c:pt>
                <c:pt idx="4">
                  <c:v>352.2</c:v>
                </c:pt>
                <c:pt idx="5">
                  <c:v>535.70000000000005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6-4603-A89A-BF2398F39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'Objective 1'!$C$2</c:f>
              <c:strCache>
                <c:ptCount val="1"/>
                <c:pt idx="0">
                  <c:v>Rural+Urban</c:v>
                </c:pt>
              </c:strCache>
            </c:strRef>
          </c:tx>
          <c:cat>
            <c:strRef>
              <c:f>'Objective 1'!$A$3:$A$8</c:f>
              <c:strCache>
                <c:ptCount val="6"/>
                <c:pt idx="0">
                  <c:v>Sum of Food</c:v>
                </c:pt>
                <c:pt idx="1">
                  <c:v>Sum of Appearels</c:v>
                </c:pt>
                <c:pt idx="2">
                  <c:v>Sum of Luxury</c:v>
                </c:pt>
                <c:pt idx="3">
                  <c:v>Sum of  Health Services</c:v>
                </c:pt>
                <c:pt idx="4">
                  <c:v>Sum of Energy</c:v>
                </c:pt>
                <c:pt idx="5">
                  <c:v>Sum of Essentials</c:v>
                </c:pt>
              </c:strCache>
            </c:strRef>
          </c:cat>
          <c:val>
            <c:numRef>
              <c:f>'Objective 1'!$C$3:$C$8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547.9</c:v>
                </c:pt>
                <c:pt idx="3">
                  <c:v>370.9</c:v>
                </c:pt>
                <c:pt idx="4">
                  <c:v>347.6</c:v>
                </c:pt>
                <c:pt idx="5">
                  <c:v>527.9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C-46A6-B252-D099C33F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'Objective 1'!$D$2</c:f>
              <c:strCache>
                <c:ptCount val="1"/>
                <c:pt idx="0">
                  <c:v>Urban</c:v>
                </c:pt>
              </c:strCache>
            </c:strRef>
          </c:tx>
          <c:cat>
            <c:strRef>
              <c:f>'Objective 1'!$A$3:$A$8</c:f>
              <c:strCache>
                <c:ptCount val="6"/>
                <c:pt idx="0">
                  <c:v>Sum of Food</c:v>
                </c:pt>
                <c:pt idx="1">
                  <c:v>Sum of Appearels</c:v>
                </c:pt>
                <c:pt idx="2">
                  <c:v>Sum of Luxury</c:v>
                </c:pt>
                <c:pt idx="3">
                  <c:v>Sum of  Health Services</c:v>
                </c:pt>
                <c:pt idx="4">
                  <c:v>Sum of Energy</c:v>
                </c:pt>
                <c:pt idx="5">
                  <c:v>Sum of Essentials</c:v>
                </c:pt>
              </c:strCache>
            </c:strRef>
          </c:cat>
          <c:val>
            <c:numRef>
              <c:f>'Objective 1'!$D$3:$D$8</c:f>
              <c:numCache>
                <c:formatCode>General</c:formatCode>
                <c:ptCount val="6"/>
                <c:pt idx="0">
                  <c:v>2335.1</c:v>
                </c:pt>
                <c:pt idx="1">
                  <c:v>528.70000000000005</c:v>
                </c:pt>
                <c:pt idx="2">
                  <c:v>545</c:v>
                </c:pt>
                <c:pt idx="3">
                  <c:v>367.79999999999995</c:v>
                </c:pt>
                <c:pt idx="4">
                  <c:v>343.8</c:v>
                </c:pt>
                <c:pt idx="5">
                  <c:v>520.5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E-4870-8EF0-6F11A9F1C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'Objective 2'!$C$2</c:f>
              <c:strCache>
                <c:ptCount val="1"/>
                <c:pt idx="0">
                  <c:v>Inflation</c:v>
                </c:pt>
              </c:strCache>
            </c:strRef>
          </c:tx>
          <c:xVal>
            <c:numRef>
              <c:f>'Objective 2'!$B$3:$B$8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'Objective 2'!$C$3:$C$8</c:f>
              <c:numCache>
                <c:formatCode>0.00%</c:formatCode>
                <c:ptCount val="6"/>
                <c:pt idx="0">
                  <c:v>2.75E-2</c:v>
                </c:pt>
                <c:pt idx="1">
                  <c:v>3.3099999999999997E-2</c:v>
                </c:pt>
                <c:pt idx="2">
                  <c:v>3.6299999999999999E-2</c:v>
                </c:pt>
                <c:pt idx="3">
                  <c:v>6.4600000000000005E-2</c:v>
                </c:pt>
                <c:pt idx="4">
                  <c:v>6.5500000000000003E-2</c:v>
                </c:pt>
                <c:pt idx="5">
                  <c:v>6.3799999999999996E-2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E-4624-82AE-139A7814E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12512"/>
        <c:axId val="203347072"/>
      </c:scatterChart>
      <c:valAx>
        <c:axId val="20331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3347072"/>
        <c:crosses val="autoZero"/>
        <c:crossBetween val="midCat"/>
      </c:valAx>
      <c:valAx>
        <c:axId val="2033470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3312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7583971686797071"/>
          <c:y val="8.3217189858263596E-2"/>
          <c:w val="0.72328642177646352"/>
          <c:h val="0.87623181600106448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'Objective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'Objective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836-4E12-8918-731DBC9922D5}"/>
            </c:ext>
          </c:extLst>
        </c:ser>
        <c:ser>
          <c:idx val="1"/>
          <c:order val="1"/>
          <c:invertIfNegative val="0"/>
          <c:val>
            <c:numRef>
              <c:f>'Objective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'Objective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836-4E12-8918-731DBC9922D5}"/>
            </c:ext>
          </c:extLst>
        </c:ser>
        <c:ser>
          <c:idx val="2"/>
          <c:order val="2"/>
          <c:invertIfNegative val="0"/>
          <c:val>
            <c:numRef>
              <c:f>'Objective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'Objective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836-4E12-8918-731DBC9922D5}"/>
            </c:ext>
          </c:extLst>
        </c:ser>
        <c:ser>
          <c:idx val="3"/>
          <c:order val="3"/>
          <c:invertIfNegative val="0"/>
          <c:val>
            <c:numRef>
              <c:f>'Objective 3'!$F$19:$F$32</c:f>
              <c:numCache>
                <c:formatCode>General</c:formatCode>
                <c:ptCount val="14"/>
                <c:pt idx="0">
                  <c:v>6797.7</c:v>
                </c:pt>
                <c:pt idx="1">
                  <c:v>6810.4</c:v>
                </c:pt>
                <c:pt idx="2">
                  <c:v>6818.6999999999989</c:v>
                </c:pt>
                <c:pt idx="3">
                  <c:v>6855.1</c:v>
                </c:pt>
                <c:pt idx="4">
                  <c:v>6904.1</c:v>
                </c:pt>
                <c:pt idx="5">
                  <c:v>6898.9000000000005</c:v>
                </c:pt>
                <c:pt idx="6">
                  <c:v>6856.2999999999993</c:v>
                </c:pt>
                <c:pt idx="7">
                  <c:v>6886.1</c:v>
                </c:pt>
                <c:pt idx="8">
                  <c:v>6847.9999999999991</c:v>
                </c:pt>
                <c:pt idx="9">
                  <c:v>6848.4000000000005</c:v>
                </c:pt>
                <c:pt idx="10">
                  <c:v>6881.5000000000009</c:v>
                </c:pt>
                <c:pt idx="11">
                  <c:v>6932.7000000000007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'Objective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836-4E12-8918-731DBC992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25504"/>
        <c:axId val="203127040"/>
        <c:axId val="0"/>
      </c:bar3DChart>
      <c:catAx>
        <c:axId val="2031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3127040"/>
        <c:crosses val="autoZero"/>
        <c:auto val="1"/>
        <c:lblAlgn val="ctr"/>
        <c:lblOffset val="100"/>
        <c:noMultiLvlLbl val="0"/>
      </c:catAx>
      <c:valAx>
        <c:axId val="20312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3125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'Objective 3'!$F$4</c:f>
              <c:strCache>
                <c:ptCount val="1"/>
                <c:pt idx="0">
                  <c:v>Inflation</c:v>
                </c:pt>
              </c:strCache>
            </c:strRef>
          </c:tx>
          <c:xVal>
            <c:strRef>
              <c:f>'Objective 3'!$E$5:$E$16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xVal>
          <c:yVal>
            <c:numRef>
              <c:f>'Objective 3'!$F$5:$F$16</c:f>
              <c:numCache>
                <c:formatCode>0.00%</c:formatCode>
                <c:ptCount val="12"/>
                <c:pt idx="0">
                  <c:v>1.03E-2</c:v>
                </c:pt>
                <c:pt idx="1">
                  <c:v>1.9E-3</c:v>
                </c:pt>
                <c:pt idx="2">
                  <c:v>1.1999999999999999E-3</c:v>
                </c:pt>
                <c:pt idx="3">
                  <c:v>5.3E-3</c:v>
                </c:pt>
                <c:pt idx="4">
                  <c:v>7.1000000000000004E-3</c:v>
                </c:pt>
                <c:pt idx="5">
                  <c:v>-8.0000000000000004E-4</c:v>
                </c:pt>
                <c:pt idx="6">
                  <c:v>-6.1999999999999998E-3</c:v>
                </c:pt>
                <c:pt idx="7">
                  <c:v>4.3E-3</c:v>
                </c:pt>
                <c:pt idx="8">
                  <c:v>-5.4999999999999997E-3</c:v>
                </c:pt>
                <c:pt idx="9">
                  <c:v>1E-4</c:v>
                </c:pt>
                <c:pt idx="10">
                  <c:v>4.7999999999999996E-3</c:v>
                </c:pt>
                <c:pt idx="11">
                  <c:v>7.4000000000000003E-3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7-4D33-B345-06BFC4C4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45216"/>
        <c:axId val="203146752"/>
      </c:scatterChart>
      <c:valAx>
        <c:axId val="2031452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3146752"/>
        <c:crosses val="autoZero"/>
        <c:crossBetween val="midCat"/>
      </c:valAx>
      <c:valAx>
        <c:axId val="2031467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31452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'Objective 4'!$B$8</c:f>
              <c:strCache>
                <c:ptCount val="1"/>
                <c:pt idx="0">
                  <c:v>Food</c:v>
                </c:pt>
              </c:strCache>
            </c:strRef>
          </c:tx>
          <c:cat>
            <c:strRef>
              <c:f>'Objective 4'!$A$9:$A$13</c:f>
              <c:strCache>
                <c:ptCount val="5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  <c:pt idx="4">
                  <c:v>2022-23</c:v>
                </c:pt>
              </c:strCache>
            </c:strRef>
          </c:cat>
          <c:val>
            <c:numRef>
              <c:f>'Objective 4'!$B$9:$B$13</c:f>
              <c:numCache>
                <c:formatCode>0.00%</c:formatCode>
                <c:ptCount val="5"/>
                <c:pt idx="0">
                  <c:v>4.1000000000000003E-3</c:v>
                </c:pt>
                <c:pt idx="1">
                  <c:v>-3.1899999999999998E-2</c:v>
                </c:pt>
                <c:pt idx="2">
                  <c:v>0.17680000000000001</c:v>
                </c:pt>
                <c:pt idx="3">
                  <c:v>6.3299999999999995E-2</c:v>
                </c:pt>
                <c:pt idx="4">
                  <c:v>5.8900000000000001E-2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B-442C-9B10-F669ABF9D8B0}"/>
            </c:ext>
          </c:extLst>
        </c:ser>
        <c:ser>
          <c:idx val="1"/>
          <c:order val="1"/>
          <c:tx>
            <c:strRef>
              <c:f>'Objective 4'!$C$8</c:f>
              <c:strCache>
                <c:ptCount val="1"/>
                <c:pt idx="0">
                  <c:v>Health Services </c:v>
                </c:pt>
              </c:strCache>
            </c:strRef>
          </c:tx>
          <c:cat>
            <c:strRef>
              <c:f>'Objective 4'!$A$9:$A$13</c:f>
              <c:strCache>
                <c:ptCount val="5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  <c:pt idx="4">
                  <c:v>2022-23</c:v>
                </c:pt>
              </c:strCache>
            </c:strRef>
          </c:cat>
          <c:val>
            <c:numRef>
              <c:f>'Objective 4'!$C$9:$C$13</c:f>
              <c:numCache>
                <c:formatCode>0.00%</c:formatCode>
                <c:ptCount val="5"/>
                <c:pt idx="0">
                  <c:v>5.8200000000000002E-2</c:v>
                </c:pt>
                <c:pt idx="1">
                  <c:v>-2.7199999999999998E-2</c:v>
                </c:pt>
                <c:pt idx="2">
                  <c:v>0.17519999999999999</c:v>
                </c:pt>
                <c:pt idx="3">
                  <c:v>6.0299999999999999E-2</c:v>
                </c:pt>
                <c:pt idx="4">
                  <c:v>6.8900000000000003E-2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B-442C-9B10-F669ABF9D8B0}"/>
            </c:ext>
          </c:extLst>
        </c:ser>
        <c:ser>
          <c:idx val="2"/>
          <c:order val="2"/>
          <c:tx>
            <c:strRef>
              <c:f>'Objective 4'!$D$8</c:f>
              <c:strCache>
                <c:ptCount val="1"/>
                <c:pt idx="0">
                  <c:v>Essentials</c:v>
                </c:pt>
              </c:strCache>
            </c:strRef>
          </c:tx>
          <c:cat>
            <c:strRef>
              <c:f>'Objective 4'!$A$9:$A$13</c:f>
              <c:strCache>
                <c:ptCount val="5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  <c:pt idx="3">
                  <c:v>2021-22</c:v>
                </c:pt>
                <c:pt idx="4">
                  <c:v>2022-23</c:v>
                </c:pt>
              </c:strCache>
            </c:strRef>
          </c:cat>
          <c:val>
            <c:numRef>
              <c:f>'Objective 4'!$D$9:$D$13</c:f>
              <c:numCache>
                <c:formatCode>0.00%</c:formatCode>
                <c:ptCount val="5"/>
                <c:pt idx="0">
                  <c:v>6.3E-2</c:v>
                </c:pt>
                <c:pt idx="1">
                  <c:v>-3.95E-2</c:v>
                </c:pt>
                <c:pt idx="2">
                  <c:v>0.11550000000000001</c:v>
                </c:pt>
                <c:pt idx="3">
                  <c:v>4.6300000000000001E-2</c:v>
                </c:pt>
                <c:pt idx="4">
                  <c:v>5.5599999999999997E-2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B-442C-9B10-F669ABF9D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5040"/>
        <c:axId val="201982720"/>
      </c:lineChart>
      <c:catAx>
        <c:axId val="203095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82720"/>
        <c:crosses val="autoZero"/>
        <c:auto val="1"/>
        <c:lblAlgn val="ctr"/>
        <c:lblOffset val="100"/>
        <c:noMultiLvlLbl val="0"/>
      </c:catAx>
      <c:valAx>
        <c:axId val="2019827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3095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9</xdr:row>
      <xdr:rowOff>57149</xdr:rowOff>
    </xdr:from>
    <xdr:to>
      <xdr:col>5</xdr:col>
      <xdr:colOff>504825</xdr:colOff>
      <xdr:row>21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9</xdr:row>
      <xdr:rowOff>9524</xdr:rowOff>
    </xdr:from>
    <xdr:to>
      <xdr:col>12</xdr:col>
      <xdr:colOff>276225</xdr:colOff>
      <xdr:row>21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95251</xdr:colOff>
      <xdr:row>9</xdr:row>
      <xdr:rowOff>47625</xdr:rowOff>
    </xdr:from>
    <xdr:to>
      <xdr:col>18</xdr:col>
      <xdr:colOff>419101</xdr:colOff>
      <xdr:row>21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19050</xdr:rowOff>
    </xdr:from>
    <xdr:to>
      <xdr:col>11</xdr:col>
      <xdr:colOff>0</xdr:colOff>
      <xdr:row>15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238124</xdr:colOff>
      <xdr:row>27</xdr:row>
      <xdr:rowOff>171449</xdr:rowOff>
    </xdr:from>
    <xdr:to>
      <xdr:col>15</xdr:col>
      <xdr:colOff>283843</xdr:colOff>
      <xdr:row>28</xdr:row>
      <xdr:rowOff>26668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</xdr:row>
      <xdr:rowOff>171449</xdr:rowOff>
    </xdr:from>
    <xdr:to>
      <xdr:col>14</xdr:col>
      <xdr:colOff>171450</xdr:colOff>
      <xdr:row>15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6</xdr:row>
      <xdr:rowOff>133349</xdr:rowOff>
    </xdr:from>
    <xdr:to>
      <xdr:col>11</xdr:col>
      <xdr:colOff>333375</xdr:colOff>
      <xdr:row>19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7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3" width="9.140625" style="7"/>
    <col min="4" max="4" width="19.28515625" customWidth="1"/>
    <col min="7" max="7" width="16.85546875" customWidth="1"/>
    <col min="8" max="8" width="11.5703125" customWidth="1"/>
    <col min="10" max="10" width="13" customWidth="1"/>
    <col min="11" max="11" width="18.5703125" customWidth="1"/>
    <col min="12" max="12" width="22.28515625" customWidth="1"/>
    <col min="14" max="14" width="16.140625" customWidth="1"/>
    <col min="15" max="15" width="13.42578125" customWidth="1"/>
    <col min="16" max="16" width="19.42578125" customWidth="1"/>
    <col min="17" max="17" width="13" customWidth="1"/>
    <col min="18" max="18" width="8.85546875" customWidth="1"/>
    <col min="20" max="20" width="20.28515625" customWidth="1"/>
    <col min="21" max="21" width="0" hidden="1" customWidth="1"/>
    <col min="22" max="22" width="16" customWidth="1"/>
    <col min="23" max="23" width="13.42578125" customWidth="1"/>
    <col min="24" max="24" width="15.28515625" customWidth="1"/>
    <col min="25" max="25" width="10.28515625" customWidth="1"/>
    <col min="27" max="27" width="25.5703125" customWidth="1"/>
    <col min="29" max="29" width="14.85546875" customWidth="1"/>
    <col min="30" max="30" width="13.7109375" customWidth="1"/>
  </cols>
  <sheetData>
    <row r="1" spans="1:37" s="1" customFormat="1" x14ac:dyDescent="0.25">
      <c r="A1" s="5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65</v>
      </c>
      <c r="AK1" s="1" t="s">
        <v>57</v>
      </c>
    </row>
    <row r="2" spans="1:37" x14ac:dyDescent="0.25">
      <c r="A2" s="6" t="s">
        <v>30</v>
      </c>
      <c r="B2" s="6">
        <v>2013</v>
      </c>
      <c r="C2" s="6" t="s">
        <v>31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v>105.1</v>
      </c>
      <c r="R2" s="3">
        <v>106.5</v>
      </c>
      <c r="S2" s="3">
        <v>105.8</v>
      </c>
      <c r="T2" s="3">
        <v>106.4</v>
      </c>
      <c r="U2" s="3" t="s">
        <v>32</v>
      </c>
      <c r="V2" s="3">
        <f t="shared" ref="V2:V33" si="0">IF(U2="NA",AVERAGE(U3,U4),U2)</f>
        <v>100.3</v>
      </c>
      <c r="W2" s="3">
        <v>105.5</v>
      </c>
      <c r="X2" s="3">
        <v>104.8</v>
      </c>
      <c r="Y2" s="3">
        <v>104</v>
      </c>
      <c r="Z2" s="3">
        <v>103.3</v>
      </c>
      <c r="AA2" s="3">
        <v>103.4</v>
      </c>
      <c r="AB2" s="3">
        <v>103.8</v>
      </c>
      <c r="AC2" s="3">
        <v>104.7</v>
      </c>
      <c r="AD2" s="3">
        <v>104</v>
      </c>
      <c r="AE2" s="3">
        <v>105.1</v>
      </c>
      <c r="AF2">
        <f t="shared" ref="AF2:AF33" si="1">SUM(D2,E2,F2,G2,H2,I2,J2,K2,L2,M2,N2,O2,P2)</f>
        <v>1371.6999999999998</v>
      </c>
      <c r="AG2">
        <f t="shared" ref="AG2:AG33" si="2">SUM(R2,S2,T2)</f>
        <v>318.70000000000005</v>
      </c>
      <c r="AH2">
        <f t="shared" ref="AH2:AH33" si="3">SUM(W2,Z2)</f>
        <v>208.8</v>
      </c>
      <c r="AI2">
        <f t="shared" ref="AI2:AI33" si="4">SUM(V2,X2,AB2)</f>
        <v>308.89999999999998</v>
      </c>
      <c r="AJ2">
        <f t="shared" ref="AJ2:AJ33" si="5">SUM(Y2,AC2)</f>
        <v>208.7</v>
      </c>
      <c r="AK2">
        <f t="shared" ref="AK2:AK33" si="6">SUM(Q2,AA2,AD2)</f>
        <v>312.5</v>
      </c>
    </row>
    <row r="3" spans="1:37" x14ac:dyDescent="0.25">
      <c r="A3" s="6" t="s">
        <v>33</v>
      </c>
      <c r="B3" s="6">
        <v>2013</v>
      </c>
      <c r="C3" s="6" t="s">
        <v>31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v>105.2</v>
      </c>
      <c r="R3" s="3">
        <v>105.9</v>
      </c>
      <c r="S3" s="3">
        <v>105</v>
      </c>
      <c r="T3" s="3">
        <v>105.8</v>
      </c>
      <c r="U3" s="3">
        <v>100.3</v>
      </c>
      <c r="V3" s="3">
        <f t="shared" si="0"/>
        <v>100.3</v>
      </c>
      <c r="W3" s="3">
        <v>105.4</v>
      </c>
      <c r="X3" s="3">
        <v>104.8</v>
      </c>
      <c r="Y3" s="3">
        <v>104.1</v>
      </c>
      <c r="Z3" s="3">
        <v>103.2</v>
      </c>
      <c r="AA3" s="3">
        <v>102.9</v>
      </c>
      <c r="AB3" s="3">
        <v>103.5</v>
      </c>
      <c r="AC3" s="3">
        <v>104.3</v>
      </c>
      <c r="AD3" s="3">
        <v>103.7</v>
      </c>
      <c r="AE3" s="3">
        <v>104</v>
      </c>
      <c r="AF3">
        <f t="shared" si="1"/>
        <v>1376.4</v>
      </c>
      <c r="AG3">
        <f t="shared" si="2"/>
        <v>316.7</v>
      </c>
      <c r="AH3">
        <f t="shared" si="3"/>
        <v>208.60000000000002</v>
      </c>
      <c r="AI3">
        <f t="shared" si="4"/>
        <v>308.60000000000002</v>
      </c>
      <c r="AJ3">
        <f t="shared" si="5"/>
        <v>208.39999999999998</v>
      </c>
      <c r="AK3">
        <f t="shared" si="6"/>
        <v>311.8</v>
      </c>
    </row>
    <row r="4" spans="1:37" x14ac:dyDescent="0.25">
      <c r="A4" s="6" t="s">
        <v>34</v>
      </c>
      <c r="B4" s="6">
        <v>2013</v>
      </c>
      <c r="C4" s="6" t="s">
        <v>31</v>
      </c>
      <c r="D4" s="3">
        <v>108.4</v>
      </c>
      <c r="E4" s="3">
        <v>107.3</v>
      </c>
      <c r="F4" s="3">
        <v>110</v>
      </c>
      <c r="G4" s="3">
        <v>104.4</v>
      </c>
      <c r="H4" s="3">
        <v>105.1</v>
      </c>
      <c r="I4" s="3">
        <v>103.2</v>
      </c>
      <c r="J4" s="3">
        <v>102.2</v>
      </c>
      <c r="K4" s="3">
        <v>106</v>
      </c>
      <c r="L4" s="3">
        <v>106.2</v>
      </c>
      <c r="M4" s="3">
        <v>102.7</v>
      </c>
      <c r="N4" s="3">
        <v>104.9</v>
      </c>
      <c r="O4" s="3">
        <v>107.3</v>
      </c>
      <c r="P4" s="3">
        <v>105.6</v>
      </c>
      <c r="Q4" s="3">
        <v>105.1</v>
      </c>
      <c r="R4" s="3">
        <v>106.3</v>
      </c>
      <c r="S4" s="3">
        <v>105.5</v>
      </c>
      <c r="T4" s="3">
        <v>106.2</v>
      </c>
      <c r="U4" s="3">
        <v>100.3</v>
      </c>
      <c r="V4" s="3">
        <f t="shared" si="0"/>
        <v>100.3</v>
      </c>
      <c r="W4" s="3">
        <v>105.5</v>
      </c>
      <c r="X4" s="3">
        <v>104.8</v>
      </c>
      <c r="Y4" s="3">
        <v>104</v>
      </c>
      <c r="Z4" s="3">
        <v>103.2</v>
      </c>
      <c r="AA4" s="3">
        <v>103.1</v>
      </c>
      <c r="AB4" s="3">
        <v>103.6</v>
      </c>
      <c r="AC4" s="3">
        <v>104.5</v>
      </c>
      <c r="AD4" s="3">
        <v>103.9</v>
      </c>
      <c r="AE4" s="3">
        <v>104.6</v>
      </c>
      <c r="AF4">
        <f t="shared" si="1"/>
        <v>1373.3000000000002</v>
      </c>
      <c r="AG4">
        <f t="shared" si="2"/>
        <v>318</v>
      </c>
      <c r="AH4">
        <f t="shared" si="3"/>
        <v>208.7</v>
      </c>
      <c r="AI4">
        <f t="shared" si="4"/>
        <v>308.7</v>
      </c>
      <c r="AJ4">
        <f t="shared" si="5"/>
        <v>208.5</v>
      </c>
      <c r="AK4">
        <f t="shared" si="6"/>
        <v>312.10000000000002</v>
      </c>
    </row>
    <row r="5" spans="1:37" x14ac:dyDescent="0.25">
      <c r="A5" s="6" t="s">
        <v>30</v>
      </c>
      <c r="B5" s="6">
        <v>2013</v>
      </c>
      <c r="C5" s="6" t="s">
        <v>35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v>105.6</v>
      </c>
      <c r="R5" s="3">
        <v>107.1</v>
      </c>
      <c r="S5" s="3">
        <v>106.3</v>
      </c>
      <c r="T5" s="3">
        <v>107</v>
      </c>
      <c r="U5" s="3" t="s">
        <v>32</v>
      </c>
      <c r="V5" s="3">
        <f t="shared" si="0"/>
        <v>100.4</v>
      </c>
      <c r="W5" s="3">
        <v>106.2</v>
      </c>
      <c r="X5" s="3">
        <v>105.2</v>
      </c>
      <c r="Y5" s="3">
        <v>104.4</v>
      </c>
      <c r="Z5" s="3">
        <v>103.9</v>
      </c>
      <c r="AA5" s="3">
        <v>104</v>
      </c>
      <c r="AB5" s="3">
        <v>104.1</v>
      </c>
      <c r="AC5" s="3">
        <v>104.6</v>
      </c>
      <c r="AD5" s="3">
        <v>104.4</v>
      </c>
      <c r="AE5" s="3">
        <v>105.8</v>
      </c>
      <c r="AF5">
        <f t="shared" si="1"/>
        <v>1380.3999999999999</v>
      </c>
      <c r="AG5">
        <f t="shared" si="2"/>
        <v>320.39999999999998</v>
      </c>
      <c r="AH5">
        <f t="shared" si="3"/>
        <v>210.10000000000002</v>
      </c>
      <c r="AI5">
        <f t="shared" si="4"/>
        <v>309.70000000000005</v>
      </c>
      <c r="AJ5">
        <f t="shared" si="5"/>
        <v>209</v>
      </c>
      <c r="AK5">
        <f t="shared" si="6"/>
        <v>314</v>
      </c>
    </row>
    <row r="6" spans="1:37" x14ac:dyDescent="0.25">
      <c r="A6" s="6" t="s">
        <v>33</v>
      </c>
      <c r="B6" s="6">
        <v>2013</v>
      </c>
      <c r="C6" s="6" t="s">
        <v>35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v>106</v>
      </c>
      <c r="R6" s="3">
        <v>106.6</v>
      </c>
      <c r="S6" s="3">
        <v>105.5</v>
      </c>
      <c r="T6" s="3">
        <v>106.4</v>
      </c>
      <c r="U6" s="3">
        <v>100.4</v>
      </c>
      <c r="V6" s="3">
        <f t="shared" si="0"/>
        <v>100.4</v>
      </c>
      <c r="W6" s="3">
        <v>105.7</v>
      </c>
      <c r="X6" s="3">
        <v>105.2</v>
      </c>
      <c r="Y6" s="3">
        <v>104.7</v>
      </c>
      <c r="Z6" s="3">
        <v>104.4</v>
      </c>
      <c r="AA6" s="3">
        <v>103.3</v>
      </c>
      <c r="AB6" s="3">
        <v>103.7</v>
      </c>
      <c r="AC6" s="3">
        <v>104.3</v>
      </c>
      <c r="AD6" s="3">
        <v>104.3</v>
      </c>
      <c r="AE6" s="3">
        <v>104.7</v>
      </c>
      <c r="AF6">
        <f t="shared" si="1"/>
        <v>1390.6000000000001</v>
      </c>
      <c r="AG6">
        <f t="shared" si="2"/>
        <v>318.5</v>
      </c>
      <c r="AH6">
        <f t="shared" si="3"/>
        <v>210.10000000000002</v>
      </c>
      <c r="AI6">
        <f t="shared" si="4"/>
        <v>309.3</v>
      </c>
      <c r="AJ6">
        <f t="shared" si="5"/>
        <v>209</v>
      </c>
      <c r="AK6">
        <f t="shared" si="6"/>
        <v>313.60000000000002</v>
      </c>
    </row>
    <row r="7" spans="1:37" x14ac:dyDescent="0.25">
      <c r="A7" s="6" t="s">
        <v>34</v>
      </c>
      <c r="B7" s="6">
        <v>2013</v>
      </c>
      <c r="C7" s="6" t="s">
        <v>35</v>
      </c>
      <c r="D7" s="3">
        <v>110.4</v>
      </c>
      <c r="E7" s="3">
        <v>110.2</v>
      </c>
      <c r="F7" s="3">
        <v>112.8</v>
      </c>
      <c r="G7" s="3">
        <v>104.9</v>
      </c>
      <c r="H7" s="3">
        <v>105.5</v>
      </c>
      <c r="I7" s="3">
        <v>103.6</v>
      </c>
      <c r="J7" s="3">
        <v>103.2</v>
      </c>
      <c r="K7" s="3">
        <v>105.3</v>
      </c>
      <c r="L7" s="3">
        <v>105.1</v>
      </c>
      <c r="M7" s="3">
        <v>102.8</v>
      </c>
      <c r="N7" s="3">
        <v>105.5</v>
      </c>
      <c r="O7" s="3">
        <v>108.3</v>
      </c>
      <c r="P7" s="3">
        <v>106.6</v>
      </c>
      <c r="Q7" s="3">
        <v>105.7</v>
      </c>
      <c r="R7" s="3">
        <v>106.9</v>
      </c>
      <c r="S7" s="3">
        <v>106</v>
      </c>
      <c r="T7" s="3">
        <v>106.8</v>
      </c>
      <c r="U7" s="3">
        <v>100.4</v>
      </c>
      <c r="V7" s="3">
        <f t="shared" si="0"/>
        <v>100.4</v>
      </c>
      <c r="W7" s="3">
        <v>106</v>
      </c>
      <c r="X7" s="3">
        <v>105.2</v>
      </c>
      <c r="Y7" s="3">
        <v>104.5</v>
      </c>
      <c r="Z7" s="3">
        <v>104.2</v>
      </c>
      <c r="AA7" s="3">
        <v>103.6</v>
      </c>
      <c r="AB7" s="3">
        <v>103.9</v>
      </c>
      <c r="AC7" s="3">
        <v>104.5</v>
      </c>
      <c r="AD7" s="3">
        <v>104.4</v>
      </c>
      <c r="AE7" s="3">
        <v>105.3</v>
      </c>
      <c r="AF7">
        <f t="shared" si="1"/>
        <v>1384.2</v>
      </c>
      <c r="AG7">
        <f t="shared" si="2"/>
        <v>319.7</v>
      </c>
      <c r="AH7">
        <f t="shared" si="3"/>
        <v>210.2</v>
      </c>
      <c r="AI7">
        <f t="shared" si="4"/>
        <v>309.5</v>
      </c>
      <c r="AJ7">
        <f t="shared" si="5"/>
        <v>209</v>
      </c>
      <c r="AK7">
        <f t="shared" si="6"/>
        <v>313.70000000000005</v>
      </c>
    </row>
    <row r="8" spans="1:37" x14ac:dyDescent="0.25">
      <c r="A8" s="6" t="s">
        <v>30</v>
      </c>
      <c r="B8" s="6">
        <v>2013</v>
      </c>
      <c r="C8" s="6" t="s">
        <v>36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v>106.5</v>
      </c>
      <c r="R8" s="3">
        <v>107.6</v>
      </c>
      <c r="S8" s="3">
        <v>106.8</v>
      </c>
      <c r="T8" s="3">
        <v>107.5</v>
      </c>
      <c r="U8" s="3" t="s">
        <v>32</v>
      </c>
      <c r="V8" s="3">
        <f t="shared" si="0"/>
        <v>100.4</v>
      </c>
      <c r="W8" s="3">
        <v>106.1</v>
      </c>
      <c r="X8" s="3">
        <v>105.6</v>
      </c>
      <c r="Y8" s="3">
        <v>104.7</v>
      </c>
      <c r="Z8" s="3">
        <v>104.6</v>
      </c>
      <c r="AA8" s="3">
        <v>104</v>
      </c>
      <c r="AB8" s="3">
        <v>104.3</v>
      </c>
      <c r="AC8" s="3">
        <v>104.3</v>
      </c>
      <c r="AD8" s="3">
        <v>104.6</v>
      </c>
      <c r="AE8" s="3">
        <v>106</v>
      </c>
      <c r="AF8">
        <f t="shared" si="1"/>
        <v>1382.2</v>
      </c>
      <c r="AG8">
        <f t="shared" si="2"/>
        <v>321.89999999999998</v>
      </c>
      <c r="AH8">
        <f t="shared" si="3"/>
        <v>210.7</v>
      </c>
      <c r="AI8">
        <f t="shared" si="4"/>
        <v>310.3</v>
      </c>
      <c r="AJ8">
        <f t="shared" si="5"/>
        <v>209</v>
      </c>
      <c r="AK8">
        <f t="shared" si="6"/>
        <v>315.10000000000002</v>
      </c>
    </row>
    <row r="9" spans="1:37" x14ac:dyDescent="0.25">
      <c r="A9" s="6" t="s">
        <v>33</v>
      </c>
      <c r="B9" s="6">
        <v>2013</v>
      </c>
      <c r="C9" s="6" t="s">
        <v>36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v>106.8</v>
      </c>
      <c r="R9" s="3">
        <v>107.2</v>
      </c>
      <c r="S9" s="3">
        <v>106</v>
      </c>
      <c r="T9" s="3">
        <v>107</v>
      </c>
      <c r="U9" s="3">
        <v>100.4</v>
      </c>
      <c r="V9" s="3">
        <f t="shared" si="0"/>
        <v>100.4</v>
      </c>
      <c r="W9" s="3">
        <v>106</v>
      </c>
      <c r="X9" s="3">
        <v>105.7</v>
      </c>
      <c r="Y9" s="3">
        <v>105.2</v>
      </c>
      <c r="Z9" s="3">
        <v>105.5</v>
      </c>
      <c r="AA9" s="3">
        <v>103.5</v>
      </c>
      <c r="AB9" s="3">
        <v>103.8</v>
      </c>
      <c r="AC9" s="3">
        <v>104.2</v>
      </c>
      <c r="AD9" s="3">
        <v>104.9</v>
      </c>
      <c r="AE9" s="3">
        <v>105</v>
      </c>
      <c r="AF9">
        <f t="shared" si="1"/>
        <v>1386.8</v>
      </c>
      <c r="AG9">
        <f t="shared" si="2"/>
        <v>320.2</v>
      </c>
      <c r="AH9">
        <f t="shared" si="3"/>
        <v>211.5</v>
      </c>
      <c r="AI9">
        <f t="shared" si="4"/>
        <v>309.90000000000003</v>
      </c>
      <c r="AJ9">
        <f t="shared" si="5"/>
        <v>209.4</v>
      </c>
      <c r="AK9">
        <f t="shared" si="6"/>
        <v>315.20000000000005</v>
      </c>
    </row>
    <row r="10" spans="1:37" x14ac:dyDescent="0.25">
      <c r="A10" s="6" t="s">
        <v>34</v>
      </c>
      <c r="B10" s="6">
        <v>2013</v>
      </c>
      <c r="C10" s="6" t="s">
        <v>36</v>
      </c>
      <c r="D10" s="3">
        <v>111.4</v>
      </c>
      <c r="E10" s="3">
        <v>109.7</v>
      </c>
      <c r="F10" s="3">
        <v>111.2</v>
      </c>
      <c r="G10" s="3">
        <v>105.1</v>
      </c>
      <c r="H10" s="3">
        <v>104.9</v>
      </c>
      <c r="I10" s="3">
        <v>105.3</v>
      </c>
      <c r="J10" s="3">
        <v>102.2</v>
      </c>
      <c r="K10" s="3">
        <v>105</v>
      </c>
      <c r="L10" s="3">
        <v>104.2</v>
      </c>
      <c r="M10" s="3">
        <v>103</v>
      </c>
      <c r="N10" s="3">
        <v>106.2</v>
      </c>
      <c r="O10" s="3">
        <v>108.9</v>
      </c>
      <c r="P10" s="3">
        <v>106.9</v>
      </c>
      <c r="Q10" s="3">
        <v>106.6</v>
      </c>
      <c r="R10" s="3">
        <v>107.4</v>
      </c>
      <c r="S10" s="3">
        <v>106.5</v>
      </c>
      <c r="T10" s="3">
        <v>107.3</v>
      </c>
      <c r="U10" s="3">
        <v>100.4</v>
      </c>
      <c r="V10" s="3">
        <f t="shared" si="0"/>
        <v>100.4</v>
      </c>
      <c r="W10" s="3">
        <v>106.1</v>
      </c>
      <c r="X10" s="3">
        <v>105.6</v>
      </c>
      <c r="Y10" s="3">
        <v>104.9</v>
      </c>
      <c r="Z10" s="3">
        <v>105.1</v>
      </c>
      <c r="AA10" s="3">
        <v>103.7</v>
      </c>
      <c r="AB10" s="3">
        <v>104</v>
      </c>
      <c r="AC10" s="3">
        <v>104.3</v>
      </c>
      <c r="AD10" s="3">
        <v>104.7</v>
      </c>
      <c r="AE10" s="3">
        <v>105.5</v>
      </c>
      <c r="AF10">
        <f t="shared" si="1"/>
        <v>1384.0000000000002</v>
      </c>
      <c r="AG10">
        <f t="shared" si="2"/>
        <v>321.2</v>
      </c>
      <c r="AH10">
        <f t="shared" si="3"/>
        <v>211.2</v>
      </c>
      <c r="AI10">
        <f t="shared" si="4"/>
        <v>310</v>
      </c>
      <c r="AJ10">
        <f t="shared" si="5"/>
        <v>209.2</v>
      </c>
      <c r="AK10">
        <f t="shared" si="6"/>
        <v>315</v>
      </c>
    </row>
    <row r="11" spans="1:37" x14ac:dyDescent="0.25">
      <c r="A11" s="6" t="s">
        <v>30</v>
      </c>
      <c r="B11" s="6">
        <v>2013</v>
      </c>
      <c r="C11" s="6" t="s">
        <v>37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v>107.1</v>
      </c>
      <c r="R11" s="3">
        <v>108.1</v>
      </c>
      <c r="S11" s="3">
        <v>107.4</v>
      </c>
      <c r="T11" s="3">
        <v>108</v>
      </c>
      <c r="U11" s="3" t="s">
        <v>32</v>
      </c>
      <c r="V11" s="3">
        <f t="shared" si="0"/>
        <v>100.5</v>
      </c>
      <c r="W11" s="3">
        <v>106.5</v>
      </c>
      <c r="X11" s="3">
        <v>106.1</v>
      </c>
      <c r="Y11" s="3">
        <v>105.1</v>
      </c>
      <c r="Z11" s="3">
        <v>104.4</v>
      </c>
      <c r="AA11" s="3">
        <v>104.5</v>
      </c>
      <c r="AB11" s="3">
        <v>104.8</v>
      </c>
      <c r="AC11" s="3">
        <v>102.7</v>
      </c>
      <c r="AD11" s="3">
        <v>104.6</v>
      </c>
      <c r="AE11" s="3">
        <v>106.4</v>
      </c>
      <c r="AF11">
        <f t="shared" si="1"/>
        <v>1385.8</v>
      </c>
      <c r="AG11">
        <f t="shared" si="2"/>
        <v>323.5</v>
      </c>
      <c r="AH11">
        <f t="shared" si="3"/>
        <v>210.9</v>
      </c>
      <c r="AI11">
        <f t="shared" si="4"/>
        <v>311.39999999999998</v>
      </c>
      <c r="AJ11">
        <f t="shared" si="5"/>
        <v>207.8</v>
      </c>
      <c r="AK11">
        <f t="shared" si="6"/>
        <v>316.2</v>
      </c>
    </row>
    <row r="12" spans="1:37" x14ac:dyDescent="0.25">
      <c r="A12" s="6" t="s">
        <v>33</v>
      </c>
      <c r="B12" s="6">
        <v>2013</v>
      </c>
      <c r="C12" s="6" t="s">
        <v>37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v>108.5</v>
      </c>
      <c r="R12" s="3">
        <v>107.9</v>
      </c>
      <c r="S12" s="3">
        <v>106.4</v>
      </c>
      <c r="T12" s="3">
        <v>107.7</v>
      </c>
      <c r="U12" s="3">
        <v>100.5</v>
      </c>
      <c r="V12" s="3">
        <f t="shared" si="0"/>
        <v>100.5</v>
      </c>
      <c r="W12" s="3">
        <v>106.4</v>
      </c>
      <c r="X12" s="3">
        <v>106.5</v>
      </c>
      <c r="Y12" s="3">
        <v>105.7</v>
      </c>
      <c r="Z12" s="3">
        <v>105</v>
      </c>
      <c r="AA12" s="3">
        <v>104</v>
      </c>
      <c r="AB12" s="3">
        <v>105.2</v>
      </c>
      <c r="AC12" s="3">
        <v>103.2</v>
      </c>
      <c r="AD12" s="3">
        <v>105.1</v>
      </c>
      <c r="AE12" s="3">
        <v>105.7</v>
      </c>
      <c r="AF12">
        <f t="shared" si="1"/>
        <v>1397.6999999999998</v>
      </c>
      <c r="AG12">
        <f t="shared" si="2"/>
        <v>322</v>
      </c>
      <c r="AH12">
        <f t="shared" si="3"/>
        <v>211.4</v>
      </c>
      <c r="AI12">
        <f t="shared" si="4"/>
        <v>312.2</v>
      </c>
      <c r="AJ12">
        <f t="shared" si="5"/>
        <v>208.9</v>
      </c>
      <c r="AK12">
        <f t="shared" si="6"/>
        <v>317.60000000000002</v>
      </c>
    </row>
    <row r="13" spans="1:37" x14ac:dyDescent="0.25">
      <c r="A13" s="6" t="s">
        <v>34</v>
      </c>
      <c r="B13" s="6">
        <v>2013</v>
      </c>
      <c r="C13" s="6" t="s">
        <v>37</v>
      </c>
      <c r="D13" s="3">
        <v>111.6</v>
      </c>
      <c r="E13" s="3">
        <v>110.9</v>
      </c>
      <c r="F13" s="3">
        <v>106.6</v>
      </c>
      <c r="G13" s="3">
        <v>105.7</v>
      </c>
      <c r="H13" s="3">
        <v>104.4</v>
      </c>
      <c r="I13" s="3">
        <v>108.9</v>
      </c>
      <c r="J13" s="3">
        <v>105.5</v>
      </c>
      <c r="K13" s="3">
        <v>105.3</v>
      </c>
      <c r="L13" s="3">
        <v>103.5</v>
      </c>
      <c r="M13" s="3">
        <v>103.3</v>
      </c>
      <c r="N13" s="3">
        <v>107.2</v>
      </c>
      <c r="O13" s="3">
        <v>109.6</v>
      </c>
      <c r="P13" s="3">
        <v>107.7</v>
      </c>
      <c r="Q13" s="3">
        <v>107.5</v>
      </c>
      <c r="R13" s="3">
        <v>108</v>
      </c>
      <c r="S13" s="3">
        <v>107</v>
      </c>
      <c r="T13" s="3">
        <v>107.9</v>
      </c>
      <c r="U13" s="3">
        <v>100.5</v>
      </c>
      <c r="V13" s="3">
        <f t="shared" si="0"/>
        <v>100.5</v>
      </c>
      <c r="W13" s="3">
        <v>106.5</v>
      </c>
      <c r="X13" s="3">
        <v>106.3</v>
      </c>
      <c r="Y13" s="3">
        <v>105.3</v>
      </c>
      <c r="Z13" s="3">
        <v>104.7</v>
      </c>
      <c r="AA13" s="3">
        <v>104.2</v>
      </c>
      <c r="AB13" s="3">
        <v>105</v>
      </c>
      <c r="AC13" s="3">
        <v>102.9</v>
      </c>
      <c r="AD13" s="3">
        <v>104.8</v>
      </c>
      <c r="AE13" s="3">
        <v>106.1</v>
      </c>
      <c r="AF13">
        <f t="shared" si="1"/>
        <v>1390.2</v>
      </c>
      <c r="AG13">
        <f t="shared" si="2"/>
        <v>322.89999999999998</v>
      </c>
      <c r="AH13">
        <f t="shared" si="3"/>
        <v>211.2</v>
      </c>
      <c r="AI13">
        <f t="shared" si="4"/>
        <v>311.8</v>
      </c>
      <c r="AJ13">
        <f t="shared" si="5"/>
        <v>208.2</v>
      </c>
      <c r="AK13">
        <f t="shared" si="6"/>
        <v>316.5</v>
      </c>
    </row>
    <row r="14" spans="1:37" x14ac:dyDescent="0.25">
      <c r="A14" s="6" t="s">
        <v>30</v>
      </c>
      <c r="B14" s="6">
        <v>2013</v>
      </c>
      <c r="C14" s="6" t="s">
        <v>38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v>108.1</v>
      </c>
      <c r="R14" s="3">
        <v>108.8</v>
      </c>
      <c r="S14" s="3">
        <v>107.9</v>
      </c>
      <c r="T14" s="3">
        <v>108.6</v>
      </c>
      <c r="U14" s="3" t="s">
        <v>32</v>
      </c>
      <c r="V14" s="3">
        <f t="shared" si="0"/>
        <v>100.5</v>
      </c>
      <c r="W14" s="3">
        <v>107.5</v>
      </c>
      <c r="X14" s="3">
        <v>106.8</v>
      </c>
      <c r="Y14" s="3">
        <v>105.7</v>
      </c>
      <c r="Z14" s="3">
        <v>104.1</v>
      </c>
      <c r="AA14" s="3">
        <v>105</v>
      </c>
      <c r="AB14" s="3">
        <v>105.5</v>
      </c>
      <c r="AC14" s="3">
        <v>102.1</v>
      </c>
      <c r="AD14" s="3">
        <v>104.8</v>
      </c>
      <c r="AE14" s="3">
        <v>107.2</v>
      </c>
      <c r="AF14">
        <f t="shared" si="1"/>
        <v>1394</v>
      </c>
      <c r="AG14">
        <f t="shared" si="2"/>
        <v>325.29999999999995</v>
      </c>
      <c r="AH14">
        <f t="shared" si="3"/>
        <v>211.6</v>
      </c>
      <c r="AI14">
        <f t="shared" si="4"/>
        <v>312.8</v>
      </c>
      <c r="AJ14">
        <f t="shared" si="5"/>
        <v>207.8</v>
      </c>
      <c r="AK14">
        <f t="shared" si="6"/>
        <v>317.89999999999998</v>
      </c>
    </row>
    <row r="15" spans="1:37" x14ac:dyDescent="0.25">
      <c r="A15" s="6" t="s">
        <v>33</v>
      </c>
      <c r="B15" s="6">
        <v>2013</v>
      </c>
      <c r="C15" s="6" t="s">
        <v>38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v>109.8</v>
      </c>
      <c r="R15" s="3">
        <v>108.5</v>
      </c>
      <c r="S15" s="3">
        <v>106.7</v>
      </c>
      <c r="T15" s="3">
        <v>108.3</v>
      </c>
      <c r="U15" s="3">
        <v>100.5</v>
      </c>
      <c r="V15" s="3">
        <f t="shared" si="0"/>
        <v>100.5</v>
      </c>
      <c r="W15" s="3">
        <v>107.2</v>
      </c>
      <c r="X15" s="3">
        <v>107.1</v>
      </c>
      <c r="Y15" s="3">
        <v>106.2</v>
      </c>
      <c r="Z15" s="3">
        <v>103.9</v>
      </c>
      <c r="AA15" s="3">
        <v>104.6</v>
      </c>
      <c r="AB15" s="3">
        <v>105.7</v>
      </c>
      <c r="AC15" s="3">
        <v>102.6</v>
      </c>
      <c r="AD15" s="3">
        <v>104.9</v>
      </c>
      <c r="AE15" s="3">
        <v>106.6</v>
      </c>
      <c r="AF15">
        <f t="shared" si="1"/>
        <v>1417.1999999999998</v>
      </c>
      <c r="AG15">
        <f t="shared" si="2"/>
        <v>323.5</v>
      </c>
      <c r="AH15">
        <f t="shared" si="3"/>
        <v>211.10000000000002</v>
      </c>
      <c r="AI15">
        <f t="shared" si="4"/>
        <v>313.3</v>
      </c>
      <c r="AJ15">
        <f t="shared" si="5"/>
        <v>208.8</v>
      </c>
      <c r="AK15">
        <f t="shared" si="6"/>
        <v>319.29999999999995</v>
      </c>
    </row>
    <row r="16" spans="1:37" x14ac:dyDescent="0.25">
      <c r="A16" s="6" t="s">
        <v>34</v>
      </c>
      <c r="B16" s="6">
        <v>2013</v>
      </c>
      <c r="C16" s="6" t="s">
        <v>38</v>
      </c>
      <c r="D16" s="3">
        <v>112.3</v>
      </c>
      <c r="E16" s="3">
        <v>111.3</v>
      </c>
      <c r="F16" s="3">
        <v>104.7</v>
      </c>
      <c r="G16" s="3">
        <v>106.8</v>
      </c>
      <c r="H16" s="3">
        <v>103.9</v>
      </c>
      <c r="I16" s="3">
        <v>109.3</v>
      </c>
      <c r="J16" s="3">
        <v>112.9</v>
      </c>
      <c r="K16" s="3">
        <v>105.8</v>
      </c>
      <c r="L16" s="3">
        <v>103.1</v>
      </c>
      <c r="M16" s="3">
        <v>104.3</v>
      </c>
      <c r="N16" s="3">
        <v>108.1</v>
      </c>
      <c r="O16" s="3">
        <v>110.5</v>
      </c>
      <c r="P16" s="3">
        <v>109.2</v>
      </c>
      <c r="Q16" s="3">
        <v>108.6</v>
      </c>
      <c r="R16" s="3">
        <v>108.7</v>
      </c>
      <c r="S16" s="3">
        <v>107.4</v>
      </c>
      <c r="T16" s="3">
        <v>108.5</v>
      </c>
      <c r="U16" s="3">
        <v>100.5</v>
      </c>
      <c r="V16" s="3">
        <f t="shared" si="0"/>
        <v>100.5</v>
      </c>
      <c r="W16" s="3">
        <v>107.4</v>
      </c>
      <c r="X16" s="3">
        <v>106.9</v>
      </c>
      <c r="Y16" s="3">
        <v>105.9</v>
      </c>
      <c r="Z16" s="3">
        <v>104</v>
      </c>
      <c r="AA16" s="3">
        <v>104.8</v>
      </c>
      <c r="AB16" s="3">
        <v>105.6</v>
      </c>
      <c r="AC16" s="3">
        <v>102.3</v>
      </c>
      <c r="AD16" s="3">
        <v>104.8</v>
      </c>
      <c r="AE16" s="3">
        <v>106.9</v>
      </c>
      <c r="AF16">
        <f t="shared" si="1"/>
        <v>1402.1999999999998</v>
      </c>
      <c r="AG16">
        <f t="shared" si="2"/>
        <v>324.60000000000002</v>
      </c>
      <c r="AH16">
        <f t="shared" si="3"/>
        <v>211.4</v>
      </c>
      <c r="AI16">
        <f t="shared" si="4"/>
        <v>313</v>
      </c>
      <c r="AJ16">
        <f t="shared" si="5"/>
        <v>208.2</v>
      </c>
      <c r="AK16">
        <f t="shared" si="6"/>
        <v>318.2</v>
      </c>
    </row>
    <row r="17" spans="1:37" x14ac:dyDescent="0.25">
      <c r="A17" s="6" t="s">
        <v>30</v>
      </c>
      <c r="B17" s="6">
        <v>2013</v>
      </c>
      <c r="C17" s="6" t="s">
        <v>39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v>109</v>
      </c>
      <c r="R17" s="3">
        <v>109.7</v>
      </c>
      <c r="S17" s="3">
        <v>108.8</v>
      </c>
      <c r="T17" s="3">
        <v>109.5</v>
      </c>
      <c r="U17" s="3" t="s">
        <v>32</v>
      </c>
      <c r="V17" s="3">
        <f t="shared" si="0"/>
        <v>106.6</v>
      </c>
      <c r="W17" s="3">
        <v>108.5</v>
      </c>
      <c r="X17" s="3">
        <v>107.5</v>
      </c>
      <c r="Y17" s="3">
        <v>106.3</v>
      </c>
      <c r="Z17" s="3">
        <v>105</v>
      </c>
      <c r="AA17" s="3">
        <v>105.6</v>
      </c>
      <c r="AB17" s="3">
        <v>106.5</v>
      </c>
      <c r="AC17" s="3">
        <v>102.5</v>
      </c>
      <c r="AD17" s="3">
        <v>105.5</v>
      </c>
      <c r="AE17" s="3">
        <v>108.9</v>
      </c>
      <c r="AF17">
        <f t="shared" si="1"/>
        <v>1420</v>
      </c>
      <c r="AG17">
        <f t="shared" si="2"/>
        <v>328</v>
      </c>
      <c r="AH17">
        <f t="shared" si="3"/>
        <v>213.5</v>
      </c>
      <c r="AI17">
        <f t="shared" si="4"/>
        <v>320.60000000000002</v>
      </c>
      <c r="AJ17">
        <f t="shared" si="5"/>
        <v>208.8</v>
      </c>
      <c r="AK17">
        <f t="shared" si="6"/>
        <v>320.10000000000002</v>
      </c>
    </row>
    <row r="18" spans="1:37" x14ac:dyDescent="0.25">
      <c r="A18" s="6" t="s">
        <v>33</v>
      </c>
      <c r="B18" s="6">
        <v>2013</v>
      </c>
      <c r="C18" s="6" t="s">
        <v>39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v>110.9</v>
      </c>
      <c r="R18" s="3">
        <v>109.2</v>
      </c>
      <c r="S18" s="3">
        <v>107.2</v>
      </c>
      <c r="T18" s="3">
        <v>108.9</v>
      </c>
      <c r="U18" s="3">
        <v>106.6</v>
      </c>
      <c r="V18" s="3">
        <f t="shared" si="0"/>
        <v>106.6</v>
      </c>
      <c r="W18" s="3">
        <v>108</v>
      </c>
      <c r="X18" s="3">
        <v>107.7</v>
      </c>
      <c r="Y18" s="3">
        <v>106.5</v>
      </c>
      <c r="Z18" s="3">
        <v>105.2</v>
      </c>
      <c r="AA18" s="3">
        <v>105.2</v>
      </c>
      <c r="AB18" s="3">
        <v>108.1</v>
      </c>
      <c r="AC18" s="3">
        <v>103.3</v>
      </c>
      <c r="AD18" s="3">
        <v>106.1</v>
      </c>
      <c r="AE18" s="3">
        <v>109.7</v>
      </c>
      <c r="AF18">
        <f t="shared" si="1"/>
        <v>1464.6000000000001</v>
      </c>
      <c r="AG18">
        <f t="shared" si="2"/>
        <v>325.3</v>
      </c>
      <c r="AH18">
        <f t="shared" si="3"/>
        <v>213.2</v>
      </c>
      <c r="AI18">
        <f t="shared" si="4"/>
        <v>322.39999999999998</v>
      </c>
      <c r="AJ18">
        <f t="shared" si="5"/>
        <v>209.8</v>
      </c>
      <c r="AK18">
        <f t="shared" si="6"/>
        <v>322.20000000000005</v>
      </c>
    </row>
    <row r="19" spans="1:37" x14ac:dyDescent="0.25">
      <c r="A19" s="6" t="s">
        <v>34</v>
      </c>
      <c r="B19" s="6">
        <v>2013</v>
      </c>
      <c r="C19" s="6" t="s">
        <v>39</v>
      </c>
      <c r="D19" s="3">
        <v>113.8</v>
      </c>
      <c r="E19" s="3">
        <v>114.9</v>
      </c>
      <c r="F19" s="3">
        <v>109.8</v>
      </c>
      <c r="G19" s="3">
        <v>107.9</v>
      </c>
      <c r="H19" s="3">
        <v>104.2</v>
      </c>
      <c r="I19" s="3">
        <v>110.7</v>
      </c>
      <c r="J19" s="3">
        <v>126.7</v>
      </c>
      <c r="K19" s="3">
        <v>106.3</v>
      </c>
      <c r="L19" s="3">
        <v>103.2</v>
      </c>
      <c r="M19" s="3">
        <v>105.7</v>
      </c>
      <c r="N19" s="3">
        <v>109</v>
      </c>
      <c r="O19" s="3">
        <v>111.6</v>
      </c>
      <c r="P19" s="3">
        <v>112.2</v>
      </c>
      <c r="Q19" s="3">
        <v>109.5</v>
      </c>
      <c r="R19" s="3">
        <v>109.5</v>
      </c>
      <c r="S19" s="3">
        <v>108.1</v>
      </c>
      <c r="T19" s="3">
        <v>109.3</v>
      </c>
      <c r="U19" s="3">
        <v>106.6</v>
      </c>
      <c r="V19" s="3">
        <f t="shared" si="0"/>
        <v>106.6</v>
      </c>
      <c r="W19" s="3">
        <v>108.3</v>
      </c>
      <c r="X19" s="3">
        <v>107.6</v>
      </c>
      <c r="Y19" s="3">
        <v>106.4</v>
      </c>
      <c r="Z19" s="3">
        <v>105.1</v>
      </c>
      <c r="AA19" s="3">
        <v>105.4</v>
      </c>
      <c r="AB19" s="3">
        <v>107.4</v>
      </c>
      <c r="AC19" s="3">
        <v>102.8</v>
      </c>
      <c r="AD19" s="3">
        <v>105.8</v>
      </c>
      <c r="AE19" s="3">
        <v>109.3</v>
      </c>
      <c r="AF19">
        <f t="shared" si="1"/>
        <v>1436</v>
      </c>
      <c r="AG19">
        <f t="shared" si="2"/>
        <v>326.89999999999998</v>
      </c>
      <c r="AH19">
        <f t="shared" si="3"/>
        <v>213.39999999999998</v>
      </c>
      <c r="AI19">
        <f t="shared" si="4"/>
        <v>321.60000000000002</v>
      </c>
      <c r="AJ19">
        <f t="shared" si="5"/>
        <v>209.2</v>
      </c>
      <c r="AK19">
        <f t="shared" si="6"/>
        <v>320.7</v>
      </c>
    </row>
    <row r="20" spans="1:37" x14ac:dyDescent="0.25">
      <c r="A20" s="6" t="s">
        <v>30</v>
      </c>
      <c r="B20" s="6">
        <v>2013</v>
      </c>
      <c r="C20" s="6" t="s">
        <v>40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v>109.8</v>
      </c>
      <c r="R20" s="3">
        <v>110.5</v>
      </c>
      <c r="S20" s="3">
        <v>109.5</v>
      </c>
      <c r="T20" s="3">
        <v>110.3</v>
      </c>
      <c r="U20" s="3" t="s">
        <v>32</v>
      </c>
      <c r="V20" s="3">
        <f t="shared" si="0"/>
        <v>107.7</v>
      </c>
      <c r="W20" s="3">
        <v>109.5</v>
      </c>
      <c r="X20" s="3">
        <v>108.3</v>
      </c>
      <c r="Y20" s="3">
        <v>106.9</v>
      </c>
      <c r="Z20" s="3">
        <v>106.8</v>
      </c>
      <c r="AA20" s="3">
        <v>106.4</v>
      </c>
      <c r="AB20" s="3">
        <v>107.8</v>
      </c>
      <c r="AC20" s="3">
        <v>102.5</v>
      </c>
      <c r="AD20" s="3">
        <v>106.5</v>
      </c>
      <c r="AE20" s="3">
        <v>110.7</v>
      </c>
      <c r="AF20">
        <f t="shared" si="1"/>
        <v>1445.8999999999996</v>
      </c>
      <c r="AG20">
        <f t="shared" si="2"/>
        <v>330.3</v>
      </c>
      <c r="AH20">
        <f t="shared" si="3"/>
        <v>216.3</v>
      </c>
      <c r="AI20">
        <f t="shared" si="4"/>
        <v>323.8</v>
      </c>
      <c r="AJ20">
        <f t="shared" si="5"/>
        <v>209.4</v>
      </c>
      <c r="AK20">
        <f t="shared" si="6"/>
        <v>322.7</v>
      </c>
    </row>
    <row r="21" spans="1:37" x14ac:dyDescent="0.25">
      <c r="A21" s="6" t="s">
        <v>33</v>
      </c>
      <c r="B21" s="6">
        <v>2013</v>
      </c>
      <c r="C21" s="6" t="s">
        <v>40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v>111.7</v>
      </c>
      <c r="R21" s="3">
        <v>109.8</v>
      </c>
      <c r="S21" s="3">
        <v>107.8</v>
      </c>
      <c r="T21" s="3">
        <v>109.5</v>
      </c>
      <c r="U21" s="3">
        <v>107.7</v>
      </c>
      <c r="V21" s="3">
        <f t="shared" si="0"/>
        <v>107.7</v>
      </c>
      <c r="W21" s="3">
        <v>108.6</v>
      </c>
      <c r="X21" s="3">
        <v>108.1</v>
      </c>
      <c r="Y21" s="3">
        <v>107.1</v>
      </c>
      <c r="Z21" s="3">
        <v>107.3</v>
      </c>
      <c r="AA21" s="3">
        <v>105.9</v>
      </c>
      <c r="AB21" s="3">
        <v>110.1</v>
      </c>
      <c r="AC21" s="3">
        <v>103.2</v>
      </c>
      <c r="AD21" s="3">
        <v>107.3</v>
      </c>
      <c r="AE21" s="3">
        <v>111.4</v>
      </c>
      <c r="AF21">
        <f t="shared" si="1"/>
        <v>1489.4</v>
      </c>
      <c r="AG21">
        <f t="shared" si="2"/>
        <v>327.10000000000002</v>
      </c>
      <c r="AH21">
        <f t="shared" si="3"/>
        <v>215.89999999999998</v>
      </c>
      <c r="AI21">
        <f t="shared" si="4"/>
        <v>325.89999999999998</v>
      </c>
      <c r="AJ21">
        <f t="shared" si="5"/>
        <v>210.3</v>
      </c>
      <c r="AK21">
        <f t="shared" si="6"/>
        <v>324.90000000000003</v>
      </c>
    </row>
    <row r="22" spans="1:37" x14ac:dyDescent="0.25">
      <c r="A22" s="6" t="s">
        <v>34</v>
      </c>
      <c r="B22" s="6">
        <v>2013</v>
      </c>
      <c r="C22" s="6" t="s">
        <v>40</v>
      </c>
      <c r="D22" s="3">
        <v>114.8</v>
      </c>
      <c r="E22" s="3">
        <v>116.4</v>
      </c>
      <c r="F22" s="3">
        <v>111.9</v>
      </c>
      <c r="G22" s="3">
        <v>108.9</v>
      </c>
      <c r="H22" s="3">
        <v>104.3</v>
      </c>
      <c r="I22" s="3">
        <v>111.7</v>
      </c>
      <c r="J22" s="3">
        <v>140</v>
      </c>
      <c r="K22" s="3">
        <v>106.4</v>
      </c>
      <c r="L22" s="3">
        <v>103.3</v>
      </c>
      <c r="M22" s="3">
        <v>106.8</v>
      </c>
      <c r="N22" s="3">
        <v>109.6</v>
      </c>
      <c r="O22" s="3">
        <v>112.6</v>
      </c>
      <c r="P22" s="3">
        <v>114.7</v>
      </c>
      <c r="Q22" s="3">
        <v>110.3</v>
      </c>
      <c r="R22" s="3">
        <v>110.2</v>
      </c>
      <c r="S22" s="3">
        <v>108.8</v>
      </c>
      <c r="T22" s="3">
        <v>110</v>
      </c>
      <c r="U22" s="3">
        <v>107.7</v>
      </c>
      <c r="V22" s="3">
        <f t="shared" si="0"/>
        <v>107.7</v>
      </c>
      <c r="W22" s="3">
        <v>109.2</v>
      </c>
      <c r="X22" s="3">
        <v>108.2</v>
      </c>
      <c r="Y22" s="3">
        <v>107</v>
      </c>
      <c r="Z22" s="3">
        <v>107.1</v>
      </c>
      <c r="AA22" s="3">
        <v>106.1</v>
      </c>
      <c r="AB22" s="3">
        <v>109.1</v>
      </c>
      <c r="AC22" s="3">
        <v>102.8</v>
      </c>
      <c r="AD22" s="3">
        <v>106.9</v>
      </c>
      <c r="AE22" s="3">
        <v>111</v>
      </c>
      <c r="AF22">
        <f t="shared" si="1"/>
        <v>1461.3999999999999</v>
      </c>
      <c r="AG22">
        <f t="shared" si="2"/>
        <v>329</v>
      </c>
      <c r="AH22">
        <f t="shared" si="3"/>
        <v>216.3</v>
      </c>
      <c r="AI22">
        <f t="shared" si="4"/>
        <v>325</v>
      </c>
      <c r="AJ22">
        <f t="shared" si="5"/>
        <v>209.8</v>
      </c>
      <c r="AK22">
        <f t="shared" si="6"/>
        <v>323.29999999999995</v>
      </c>
    </row>
    <row r="23" spans="1:37" x14ac:dyDescent="0.25">
      <c r="A23" s="6" t="s">
        <v>30</v>
      </c>
      <c r="B23" s="6">
        <v>2013</v>
      </c>
      <c r="C23" s="6" t="s">
        <v>41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v>110.7</v>
      </c>
      <c r="R23" s="3">
        <v>111.3</v>
      </c>
      <c r="S23" s="3">
        <v>110.2</v>
      </c>
      <c r="T23" s="3">
        <v>111.1</v>
      </c>
      <c r="U23" s="3" t="s">
        <v>32</v>
      </c>
      <c r="V23" s="3">
        <f t="shared" si="0"/>
        <v>108.9</v>
      </c>
      <c r="W23" s="3">
        <v>109.9</v>
      </c>
      <c r="X23" s="3">
        <v>108.7</v>
      </c>
      <c r="Y23" s="3">
        <v>107.5</v>
      </c>
      <c r="Z23" s="3">
        <v>107.8</v>
      </c>
      <c r="AA23" s="3">
        <v>106.8</v>
      </c>
      <c r="AB23" s="3">
        <v>108.7</v>
      </c>
      <c r="AC23" s="3">
        <v>105</v>
      </c>
      <c r="AD23" s="3">
        <v>107.5</v>
      </c>
      <c r="AE23" s="3">
        <v>112.1</v>
      </c>
      <c r="AF23">
        <f t="shared" si="1"/>
        <v>1462.5</v>
      </c>
      <c r="AG23">
        <f t="shared" si="2"/>
        <v>332.6</v>
      </c>
      <c r="AH23">
        <f t="shared" si="3"/>
        <v>217.7</v>
      </c>
      <c r="AI23">
        <f t="shared" si="4"/>
        <v>326.3</v>
      </c>
      <c r="AJ23">
        <f t="shared" si="5"/>
        <v>212.5</v>
      </c>
      <c r="AK23">
        <f t="shared" si="6"/>
        <v>325</v>
      </c>
    </row>
    <row r="24" spans="1:37" x14ac:dyDescent="0.25">
      <c r="A24" s="6" t="s">
        <v>33</v>
      </c>
      <c r="B24" s="6">
        <v>2013</v>
      </c>
      <c r="C24" s="6" t="s">
        <v>41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v>112.4</v>
      </c>
      <c r="R24" s="3">
        <v>110.6</v>
      </c>
      <c r="S24" s="3">
        <v>108.3</v>
      </c>
      <c r="T24" s="3">
        <v>110.2</v>
      </c>
      <c r="U24" s="3">
        <v>108.9</v>
      </c>
      <c r="V24" s="3">
        <f t="shared" si="0"/>
        <v>108.9</v>
      </c>
      <c r="W24" s="3">
        <v>109.3</v>
      </c>
      <c r="X24" s="3">
        <v>108.7</v>
      </c>
      <c r="Y24" s="3">
        <v>107.6</v>
      </c>
      <c r="Z24" s="3">
        <v>108.1</v>
      </c>
      <c r="AA24" s="3">
        <v>106.5</v>
      </c>
      <c r="AB24" s="3">
        <v>110.8</v>
      </c>
      <c r="AC24" s="3">
        <v>106</v>
      </c>
      <c r="AD24" s="3">
        <v>108.3</v>
      </c>
      <c r="AE24" s="3">
        <v>112.7</v>
      </c>
      <c r="AF24">
        <f t="shared" si="1"/>
        <v>1506.1000000000001</v>
      </c>
      <c r="AG24">
        <f t="shared" si="2"/>
        <v>329.09999999999997</v>
      </c>
      <c r="AH24">
        <f t="shared" si="3"/>
        <v>217.39999999999998</v>
      </c>
      <c r="AI24">
        <f t="shared" si="4"/>
        <v>328.40000000000003</v>
      </c>
      <c r="AJ24">
        <f t="shared" si="5"/>
        <v>213.6</v>
      </c>
      <c r="AK24">
        <f t="shared" si="6"/>
        <v>327.2</v>
      </c>
    </row>
    <row r="25" spans="1:37" x14ac:dyDescent="0.25">
      <c r="A25" s="6" t="s">
        <v>34</v>
      </c>
      <c r="B25" s="6">
        <v>2013</v>
      </c>
      <c r="C25" s="6" t="s">
        <v>41</v>
      </c>
      <c r="D25" s="3">
        <v>115.6</v>
      </c>
      <c r="E25" s="3">
        <v>117.2</v>
      </c>
      <c r="F25" s="3">
        <v>111.7</v>
      </c>
      <c r="G25" s="3">
        <v>109.6</v>
      </c>
      <c r="H25" s="3">
        <v>104.5</v>
      </c>
      <c r="I25" s="3">
        <v>109.8</v>
      </c>
      <c r="J25" s="3">
        <v>151.80000000000001</v>
      </c>
      <c r="K25" s="3">
        <v>106.5</v>
      </c>
      <c r="L25" s="3">
        <v>103.1</v>
      </c>
      <c r="M25" s="3">
        <v>107.4</v>
      </c>
      <c r="N25" s="3">
        <v>110.2</v>
      </c>
      <c r="O25" s="3">
        <v>113.4</v>
      </c>
      <c r="P25" s="3">
        <v>116.6</v>
      </c>
      <c r="Q25" s="3">
        <v>111.2</v>
      </c>
      <c r="R25" s="3">
        <v>111</v>
      </c>
      <c r="S25" s="3">
        <v>109.4</v>
      </c>
      <c r="T25" s="3">
        <v>110.7</v>
      </c>
      <c r="U25" s="3">
        <v>108.9</v>
      </c>
      <c r="V25" s="3">
        <f t="shared" si="0"/>
        <v>108.9</v>
      </c>
      <c r="W25" s="3">
        <v>109.7</v>
      </c>
      <c r="X25" s="3">
        <v>108.7</v>
      </c>
      <c r="Y25" s="3">
        <v>107.5</v>
      </c>
      <c r="Z25" s="3">
        <v>108</v>
      </c>
      <c r="AA25" s="3">
        <v>106.6</v>
      </c>
      <c r="AB25" s="3">
        <v>109.9</v>
      </c>
      <c r="AC25" s="3">
        <v>105.4</v>
      </c>
      <c r="AD25" s="3">
        <v>107.9</v>
      </c>
      <c r="AE25" s="3">
        <v>112.4</v>
      </c>
      <c r="AF25">
        <f t="shared" si="1"/>
        <v>1477.4</v>
      </c>
      <c r="AG25">
        <f t="shared" si="2"/>
        <v>331.1</v>
      </c>
      <c r="AH25">
        <f t="shared" si="3"/>
        <v>217.7</v>
      </c>
      <c r="AI25">
        <f t="shared" si="4"/>
        <v>327.5</v>
      </c>
      <c r="AJ25">
        <f t="shared" si="5"/>
        <v>212.9</v>
      </c>
      <c r="AK25">
        <f t="shared" si="6"/>
        <v>325.70000000000005</v>
      </c>
    </row>
    <row r="26" spans="1:37" x14ac:dyDescent="0.25">
      <c r="A26" s="6" t="s">
        <v>30</v>
      </c>
      <c r="B26" s="6">
        <v>2013</v>
      </c>
      <c r="C26" s="6" t="s">
        <v>42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v>111.7</v>
      </c>
      <c r="R26" s="3">
        <v>112.7</v>
      </c>
      <c r="S26" s="3">
        <v>111.4</v>
      </c>
      <c r="T26" s="3">
        <v>112.5</v>
      </c>
      <c r="U26" s="3" t="s">
        <v>32</v>
      </c>
      <c r="V26" s="3">
        <f t="shared" si="0"/>
        <v>109.7</v>
      </c>
      <c r="W26" s="3">
        <v>111.1</v>
      </c>
      <c r="X26" s="3">
        <v>109.6</v>
      </c>
      <c r="Y26" s="3">
        <v>108.3</v>
      </c>
      <c r="Z26" s="3">
        <v>109.3</v>
      </c>
      <c r="AA26" s="3">
        <v>107.7</v>
      </c>
      <c r="AB26" s="3">
        <v>109.8</v>
      </c>
      <c r="AC26" s="3">
        <v>106.7</v>
      </c>
      <c r="AD26" s="3">
        <v>108.7</v>
      </c>
      <c r="AE26" s="3">
        <v>114.2</v>
      </c>
      <c r="AF26">
        <f t="shared" si="1"/>
        <v>1488.5000000000002</v>
      </c>
      <c r="AG26">
        <f t="shared" si="2"/>
        <v>336.6</v>
      </c>
      <c r="AH26">
        <f t="shared" si="3"/>
        <v>220.39999999999998</v>
      </c>
      <c r="AI26">
        <f t="shared" si="4"/>
        <v>329.1</v>
      </c>
      <c r="AJ26">
        <f t="shared" si="5"/>
        <v>215</v>
      </c>
      <c r="AK26">
        <f t="shared" si="6"/>
        <v>328.1</v>
      </c>
    </row>
    <row r="27" spans="1:37" x14ac:dyDescent="0.25">
      <c r="A27" s="6" t="s">
        <v>33</v>
      </c>
      <c r="B27" s="6">
        <v>2013</v>
      </c>
      <c r="C27" s="6" t="s">
        <v>42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v>112.9</v>
      </c>
      <c r="R27" s="3">
        <v>111.4</v>
      </c>
      <c r="S27" s="3">
        <v>109</v>
      </c>
      <c r="T27" s="3">
        <v>111.1</v>
      </c>
      <c r="U27" s="3">
        <v>109.7</v>
      </c>
      <c r="V27" s="3">
        <f t="shared" si="0"/>
        <v>109.7</v>
      </c>
      <c r="W27" s="3">
        <v>109.5</v>
      </c>
      <c r="X27" s="3">
        <v>109.6</v>
      </c>
      <c r="Y27" s="3">
        <v>107.9</v>
      </c>
      <c r="Z27" s="3">
        <v>110.4</v>
      </c>
      <c r="AA27" s="3">
        <v>107.4</v>
      </c>
      <c r="AB27" s="3">
        <v>111.2</v>
      </c>
      <c r="AC27" s="3">
        <v>106.9</v>
      </c>
      <c r="AD27" s="3">
        <v>109.4</v>
      </c>
      <c r="AE27" s="3">
        <v>113.2</v>
      </c>
      <c r="AF27">
        <f t="shared" si="1"/>
        <v>1500.4</v>
      </c>
      <c r="AG27">
        <f t="shared" si="2"/>
        <v>331.5</v>
      </c>
      <c r="AH27">
        <f t="shared" si="3"/>
        <v>219.9</v>
      </c>
      <c r="AI27">
        <f t="shared" si="4"/>
        <v>330.5</v>
      </c>
      <c r="AJ27">
        <f t="shared" si="5"/>
        <v>214.8</v>
      </c>
      <c r="AK27">
        <f t="shared" si="6"/>
        <v>329.70000000000005</v>
      </c>
    </row>
    <row r="28" spans="1:37" x14ac:dyDescent="0.25">
      <c r="A28" s="6" t="s">
        <v>34</v>
      </c>
      <c r="B28" s="6">
        <v>2013</v>
      </c>
      <c r="C28" s="6" t="s">
        <v>42</v>
      </c>
      <c r="D28" s="3">
        <v>116.4</v>
      </c>
      <c r="E28" s="3">
        <v>116.9</v>
      </c>
      <c r="F28" s="3">
        <v>112.3</v>
      </c>
      <c r="G28" s="3">
        <v>110.5</v>
      </c>
      <c r="H28" s="3">
        <v>105.3</v>
      </c>
      <c r="I28" s="3">
        <v>107.3</v>
      </c>
      <c r="J28" s="3">
        <v>160.9</v>
      </c>
      <c r="K28" s="3">
        <v>107.1</v>
      </c>
      <c r="L28" s="3">
        <v>103.1</v>
      </c>
      <c r="M28" s="3">
        <v>108.3</v>
      </c>
      <c r="N28" s="3">
        <v>110.7</v>
      </c>
      <c r="O28" s="3">
        <v>114.6</v>
      </c>
      <c r="P28" s="3">
        <v>118.3</v>
      </c>
      <c r="Q28" s="3">
        <v>112</v>
      </c>
      <c r="R28" s="3">
        <v>112.2</v>
      </c>
      <c r="S28" s="3">
        <v>110.4</v>
      </c>
      <c r="T28" s="3">
        <v>111.9</v>
      </c>
      <c r="U28" s="3">
        <v>109.7</v>
      </c>
      <c r="V28" s="3">
        <f t="shared" si="0"/>
        <v>109.7</v>
      </c>
      <c r="W28" s="3">
        <v>110.5</v>
      </c>
      <c r="X28" s="3">
        <v>109.6</v>
      </c>
      <c r="Y28" s="3">
        <v>108.1</v>
      </c>
      <c r="Z28" s="3">
        <v>109.9</v>
      </c>
      <c r="AA28" s="3">
        <v>107.5</v>
      </c>
      <c r="AB28" s="3">
        <v>110.6</v>
      </c>
      <c r="AC28" s="3">
        <v>106.8</v>
      </c>
      <c r="AD28" s="3">
        <v>109</v>
      </c>
      <c r="AE28" s="3">
        <v>113.7</v>
      </c>
      <c r="AF28">
        <f t="shared" si="1"/>
        <v>1491.6999999999998</v>
      </c>
      <c r="AG28">
        <f t="shared" si="2"/>
        <v>334.5</v>
      </c>
      <c r="AH28">
        <f t="shared" si="3"/>
        <v>220.4</v>
      </c>
      <c r="AI28">
        <f t="shared" si="4"/>
        <v>329.9</v>
      </c>
      <c r="AJ28">
        <f t="shared" si="5"/>
        <v>214.89999999999998</v>
      </c>
      <c r="AK28">
        <f t="shared" si="6"/>
        <v>328.5</v>
      </c>
    </row>
    <row r="29" spans="1:37" x14ac:dyDescent="0.25">
      <c r="A29" s="6" t="s">
        <v>30</v>
      </c>
      <c r="B29" s="6">
        <v>2013</v>
      </c>
      <c r="C29" s="6" t="s">
        <v>43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v>112.2</v>
      </c>
      <c r="R29" s="3">
        <v>113.6</v>
      </c>
      <c r="S29" s="3">
        <v>112.3</v>
      </c>
      <c r="T29" s="3">
        <v>113.4</v>
      </c>
      <c r="U29" s="3" t="s">
        <v>32</v>
      </c>
      <c r="V29" s="3">
        <f t="shared" si="0"/>
        <v>110.5</v>
      </c>
      <c r="W29" s="3">
        <v>111.6</v>
      </c>
      <c r="X29" s="3">
        <v>110.4</v>
      </c>
      <c r="Y29" s="3">
        <v>108.9</v>
      </c>
      <c r="Z29" s="3">
        <v>109.3</v>
      </c>
      <c r="AA29" s="3">
        <v>108.3</v>
      </c>
      <c r="AB29" s="3">
        <v>110.2</v>
      </c>
      <c r="AC29" s="3">
        <v>107.5</v>
      </c>
      <c r="AD29" s="3">
        <v>109.1</v>
      </c>
      <c r="AE29" s="3">
        <v>115.5</v>
      </c>
      <c r="AF29">
        <f t="shared" si="1"/>
        <v>1508</v>
      </c>
      <c r="AG29">
        <f t="shared" si="2"/>
        <v>339.29999999999995</v>
      </c>
      <c r="AH29">
        <f t="shared" si="3"/>
        <v>220.89999999999998</v>
      </c>
      <c r="AI29">
        <f t="shared" si="4"/>
        <v>331.1</v>
      </c>
      <c r="AJ29">
        <f t="shared" si="5"/>
        <v>216.4</v>
      </c>
      <c r="AK29">
        <f t="shared" si="6"/>
        <v>329.6</v>
      </c>
    </row>
    <row r="30" spans="1:37" x14ac:dyDescent="0.25">
      <c r="A30" s="6" t="s">
        <v>33</v>
      </c>
      <c r="B30" s="6">
        <v>2013</v>
      </c>
      <c r="C30" s="6" t="s">
        <v>43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v>113.5</v>
      </c>
      <c r="R30" s="3">
        <v>112.5</v>
      </c>
      <c r="S30" s="3">
        <v>109.7</v>
      </c>
      <c r="T30" s="3">
        <v>112</v>
      </c>
      <c r="U30" s="3">
        <v>110.5</v>
      </c>
      <c r="V30" s="3">
        <f t="shared" si="0"/>
        <v>110.5</v>
      </c>
      <c r="W30" s="3">
        <v>109.7</v>
      </c>
      <c r="X30" s="3">
        <v>110.2</v>
      </c>
      <c r="Y30" s="3">
        <v>108.2</v>
      </c>
      <c r="Z30" s="3">
        <v>109.7</v>
      </c>
      <c r="AA30" s="3">
        <v>108</v>
      </c>
      <c r="AB30" s="3">
        <v>111.3</v>
      </c>
      <c r="AC30" s="3">
        <v>107.3</v>
      </c>
      <c r="AD30" s="3">
        <v>109.4</v>
      </c>
      <c r="AE30" s="3">
        <v>114</v>
      </c>
      <c r="AF30">
        <f t="shared" si="1"/>
        <v>1517.1999999999998</v>
      </c>
      <c r="AG30">
        <f t="shared" si="2"/>
        <v>334.2</v>
      </c>
      <c r="AH30">
        <f t="shared" si="3"/>
        <v>219.4</v>
      </c>
      <c r="AI30">
        <f t="shared" si="4"/>
        <v>332</v>
      </c>
      <c r="AJ30">
        <f t="shared" si="5"/>
        <v>215.5</v>
      </c>
      <c r="AK30">
        <f t="shared" si="6"/>
        <v>330.9</v>
      </c>
    </row>
    <row r="31" spans="1:37" x14ac:dyDescent="0.25">
      <c r="A31" s="6" t="s">
        <v>34</v>
      </c>
      <c r="B31" s="6">
        <v>2013</v>
      </c>
      <c r="C31" s="6" t="s">
        <v>43</v>
      </c>
      <c r="D31" s="3">
        <v>117.1</v>
      </c>
      <c r="E31" s="3">
        <v>116.3</v>
      </c>
      <c r="F31" s="3">
        <v>113.3</v>
      </c>
      <c r="G31" s="3">
        <v>111.2</v>
      </c>
      <c r="H31" s="3">
        <v>105.7</v>
      </c>
      <c r="I31" s="3">
        <v>109.9</v>
      </c>
      <c r="J31" s="3">
        <v>171.2</v>
      </c>
      <c r="K31" s="3">
        <v>107.3</v>
      </c>
      <c r="L31" s="3">
        <v>102.7</v>
      </c>
      <c r="M31" s="3">
        <v>108.7</v>
      </c>
      <c r="N31" s="3">
        <v>111.2</v>
      </c>
      <c r="O31" s="3">
        <v>115.4</v>
      </c>
      <c r="P31" s="3">
        <v>120.2</v>
      </c>
      <c r="Q31" s="3">
        <v>112.5</v>
      </c>
      <c r="R31" s="3">
        <v>113.2</v>
      </c>
      <c r="S31" s="3">
        <v>111.2</v>
      </c>
      <c r="T31" s="3">
        <v>112.8</v>
      </c>
      <c r="U31" s="3">
        <v>110.5</v>
      </c>
      <c r="V31" s="3">
        <f t="shared" si="0"/>
        <v>110.5</v>
      </c>
      <c r="W31" s="3">
        <v>110.9</v>
      </c>
      <c r="X31" s="3">
        <v>110.3</v>
      </c>
      <c r="Y31" s="3">
        <v>108.6</v>
      </c>
      <c r="Z31" s="3">
        <v>109.5</v>
      </c>
      <c r="AA31" s="3">
        <v>108.1</v>
      </c>
      <c r="AB31" s="3">
        <v>110.8</v>
      </c>
      <c r="AC31" s="3">
        <v>107.4</v>
      </c>
      <c r="AD31" s="3">
        <v>109.2</v>
      </c>
      <c r="AE31" s="3">
        <v>114.8</v>
      </c>
      <c r="AF31">
        <f t="shared" si="1"/>
        <v>1510.2000000000003</v>
      </c>
      <c r="AG31">
        <f t="shared" si="2"/>
        <v>337.2</v>
      </c>
      <c r="AH31">
        <f t="shared" si="3"/>
        <v>220.4</v>
      </c>
      <c r="AI31">
        <f t="shared" si="4"/>
        <v>331.6</v>
      </c>
      <c r="AJ31">
        <f t="shared" si="5"/>
        <v>216</v>
      </c>
      <c r="AK31">
        <f t="shared" si="6"/>
        <v>329.8</v>
      </c>
    </row>
    <row r="32" spans="1:37" x14ac:dyDescent="0.25">
      <c r="A32" s="6" t="s">
        <v>30</v>
      </c>
      <c r="B32" s="6">
        <v>2013</v>
      </c>
      <c r="C32" s="6" t="s">
        <v>44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v>112.8</v>
      </c>
      <c r="R32" s="3">
        <v>114.6</v>
      </c>
      <c r="S32" s="3">
        <v>113.1</v>
      </c>
      <c r="T32" s="3">
        <v>114.4</v>
      </c>
      <c r="U32" s="3" t="s">
        <v>32</v>
      </c>
      <c r="V32" s="3">
        <f t="shared" si="0"/>
        <v>111.1</v>
      </c>
      <c r="W32" s="3">
        <v>112.6</v>
      </c>
      <c r="X32" s="3">
        <v>111.3</v>
      </c>
      <c r="Y32" s="3">
        <v>109.7</v>
      </c>
      <c r="Z32" s="3">
        <v>109.6</v>
      </c>
      <c r="AA32" s="3">
        <v>108.7</v>
      </c>
      <c r="AB32" s="3">
        <v>111</v>
      </c>
      <c r="AC32" s="3">
        <v>108.2</v>
      </c>
      <c r="AD32" s="3">
        <v>109.8</v>
      </c>
      <c r="AE32" s="3">
        <v>117.4</v>
      </c>
      <c r="AF32">
        <f t="shared" si="1"/>
        <v>1536.8</v>
      </c>
      <c r="AG32">
        <f t="shared" si="2"/>
        <v>342.1</v>
      </c>
      <c r="AH32">
        <f t="shared" si="3"/>
        <v>222.2</v>
      </c>
      <c r="AI32">
        <f t="shared" si="4"/>
        <v>333.4</v>
      </c>
      <c r="AJ32">
        <f t="shared" si="5"/>
        <v>217.9</v>
      </c>
      <c r="AK32">
        <f t="shared" si="6"/>
        <v>331.3</v>
      </c>
    </row>
    <row r="33" spans="1:37" x14ac:dyDescent="0.25">
      <c r="A33" s="6" t="s">
        <v>33</v>
      </c>
      <c r="B33" s="6">
        <v>2013</v>
      </c>
      <c r="C33" s="6" t="s">
        <v>45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v>114.1</v>
      </c>
      <c r="R33" s="3">
        <v>113.5</v>
      </c>
      <c r="S33" s="3">
        <v>110.3</v>
      </c>
      <c r="T33" s="3">
        <v>113</v>
      </c>
      <c r="U33" s="3">
        <v>111.1</v>
      </c>
      <c r="V33" s="3">
        <f t="shared" si="0"/>
        <v>111.1</v>
      </c>
      <c r="W33" s="3">
        <v>110</v>
      </c>
      <c r="X33" s="3">
        <v>110.9</v>
      </c>
      <c r="Y33" s="3">
        <v>108.6</v>
      </c>
      <c r="Z33" s="3">
        <v>109.5</v>
      </c>
      <c r="AA33" s="3">
        <v>108.5</v>
      </c>
      <c r="AB33" s="3">
        <v>111.3</v>
      </c>
      <c r="AC33" s="3">
        <v>107.9</v>
      </c>
      <c r="AD33" s="3">
        <v>109.6</v>
      </c>
      <c r="AE33" s="3">
        <v>115</v>
      </c>
      <c r="AF33">
        <f t="shared" si="1"/>
        <v>1544.6</v>
      </c>
      <c r="AG33">
        <f t="shared" si="2"/>
        <v>336.8</v>
      </c>
      <c r="AH33">
        <f t="shared" si="3"/>
        <v>219.5</v>
      </c>
      <c r="AI33">
        <f t="shared" si="4"/>
        <v>333.3</v>
      </c>
      <c r="AJ33">
        <f t="shared" si="5"/>
        <v>216.5</v>
      </c>
      <c r="AK33">
        <f t="shared" si="6"/>
        <v>332.2</v>
      </c>
    </row>
    <row r="34" spans="1:37" x14ac:dyDescent="0.25">
      <c r="A34" s="6" t="s">
        <v>34</v>
      </c>
      <c r="B34" s="6">
        <v>2013</v>
      </c>
      <c r="C34" s="6" t="s">
        <v>45</v>
      </c>
      <c r="D34" s="3">
        <v>118.1</v>
      </c>
      <c r="E34" s="3">
        <v>115.4</v>
      </c>
      <c r="F34" s="3">
        <v>118.7</v>
      </c>
      <c r="G34" s="3">
        <v>112.5</v>
      </c>
      <c r="H34" s="3">
        <v>106.8</v>
      </c>
      <c r="I34" s="3">
        <v>113.5</v>
      </c>
      <c r="J34" s="3">
        <v>183.1</v>
      </c>
      <c r="K34" s="3">
        <v>108.2</v>
      </c>
      <c r="L34" s="3">
        <v>102.2</v>
      </c>
      <c r="M34" s="3">
        <v>109.4</v>
      </c>
      <c r="N34" s="3">
        <v>111.8</v>
      </c>
      <c r="O34" s="3">
        <v>116.5</v>
      </c>
      <c r="P34" s="3">
        <v>122.6</v>
      </c>
      <c r="Q34" s="3">
        <v>113.1</v>
      </c>
      <c r="R34" s="3">
        <v>114.2</v>
      </c>
      <c r="S34" s="3">
        <v>111.9</v>
      </c>
      <c r="T34" s="3">
        <v>113.8</v>
      </c>
      <c r="U34" s="3">
        <v>111.1</v>
      </c>
      <c r="V34" s="3">
        <f t="shared" ref="V34:V65" si="7">IF(U34="NA",AVERAGE(U35,U36),U34)</f>
        <v>111.1</v>
      </c>
      <c r="W34" s="3">
        <v>111.6</v>
      </c>
      <c r="X34" s="3">
        <v>111.1</v>
      </c>
      <c r="Y34" s="3">
        <v>109.3</v>
      </c>
      <c r="Z34" s="3">
        <v>109.5</v>
      </c>
      <c r="AA34" s="3">
        <v>108.6</v>
      </c>
      <c r="AB34" s="3">
        <v>111.2</v>
      </c>
      <c r="AC34" s="3">
        <v>108.1</v>
      </c>
      <c r="AD34" s="3">
        <v>109.7</v>
      </c>
      <c r="AE34" s="3">
        <v>116.3</v>
      </c>
      <c r="AF34">
        <f t="shared" ref="AF34:AF66" si="8">SUM(D34,E34,F34,G34,H34,I34,J34,K34,L34,M34,N34,O34,P34)</f>
        <v>1538.8</v>
      </c>
      <c r="AG34">
        <f t="shared" ref="AG34:AG66" si="9">SUM(R34,S34,T34)</f>
        <v>339.90000000000003</v>
      </c>
      <c r="AH34">
        <f t="shared" ref="AH34:AH66" si="10">SUM(W34,Z34)</f>
        <v>221.1</v>
      </c>
      <c r="AI34">
        <f t="shared" ref="AI34:AI66" si="11">SUM(V34,X34,AB34)</f>
        <v>333.4</v>
      </c>
      <c r="AJ34">
        <f t="shared" ref="AJ34:AJ66" si="12">SUM(Y34,AC34)</f>
        <v>217.39999999999998</v>
      </c>
      <c r="AK34">
        <f t="shared" ref="AK34:AK66" si="13">SUM(Q34,AA34,AD34)</f>
        <v>331.4</v>
      </c>
    </row>
    <row r="35" spans="1:37" x14ac:dyDescent="0.25">
      <c r="A35" s="6" t="s">
        <v>30</v>
      </c>
      <c r="B35" s="6">
        <v>2013</v>
      </c>
      <c r="C35" s="6" t="s">
        <v>46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v>113.6</v>
      </c>
      <c r="R35" s="3">
        <v>115.8</v>
      </c>
      <c r="S35" s="3">
        <v>114</v>
      </c>
      <c r="T35" s="3">
        <v>115.5</v>
      </c>
      <c r="U35" s="3" t="s">
        <v>32</v>
      </c>
      <c r="V35" s="3">
        <f t="shared" si="7"/>
        <v>110.7</v>
      </c>
      <c r="W35" s="3">
        <v>112.8</v>
      </c>
      <c r="X35" s="3">
        <v>112.1</v>
      </c>
      <c r="Y35" s="3">
        <v>110.1</v>
      </c>
      <c r="Z35" s="3">
        <v>109.9</v>
      </c>
      <c r="AA35" s="3">
        <v>109.2</v>
      </c>
      <c r="AB35" s="3">
        <v>111.6</v>
      </c>
      <c r="AC35" s="3">
        <v>108.1</v>
      </c>
      <c r="AD35" s="3">
        <v>110.1</v>
      </c>
      <c r="AE35" s="3">
        <v>115.5</v>
      </c>
      <c r="AF35">
        <f t="shared" si="8"/>
        <v>1509</v>
      </c>
      <c r="AG35">
        <f t="shared" si="9"/>
        <v>345.3</v>
      </c>
      <c r="AH35">
        <f t="shared" si="10"/>
        <v>222.7</v>
      </c>
      <c r="AI35">
        <f t="shared" si="11"/>
        <v>334.4</v>
      </c>
      <c r="AJ35">
        <f t="shared" si="12"/>
        <v>218.2</v>
      </c>
      <c r="AK35">
        <f t="shared" si="13"/>
        <v>332.9</v>
      </c>
    </row>
    <row r="36" spans="1:37" x14ac:dyDescent="0.25">
      <c r="A36" s="6" t="s">
        <v>33</v>
      </c>
      <c r="B36" s="6">
        <v>2013</v>
      </c>
      <c r="C36" s="6" t="s">
        <v>46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v>115</v>
      </c>
      <c r="R36" s="3">
        <v>114.2</v>
      </c>
      <c r="S36" s="3">
        <v>110.9</v>
      </c>
      <c r="T36" s="3">
        <v>113.7</v>
      </c>
      <c r="U36" s="3">
        <v>110.7</v>
      </c>
      <c r="V36" s="3">
        <f t="shared" si="7"/>
        <v>110.7</v>
      </c>
      <c r="W36" s="3">
        <v>110.4</v>
      </c>
      <c r="X36" s="3">
        <v>111.3</v>
      </c>
      <c r="Y36" s="3">
        <v>109</v>
      </c>
      <c r="Z36" s="3">
        <v>109.7</v>
      </c>
      <c r="AA36" s="3">
        <v>108.9</v>
      </c>
      <c r="AB36" s="3">
        <v>111.4</v>
      </c>
      <c r="AC36" s="3">
        <v>107.7</v>
      </c>
      <c r="AD36" s="3">
        <v>109.8</v>
      </c>
      <c r="AE36" s="3">
        <v>113.3</v>
      </c>
      <c r="AF36">
        <f t="shared" si="8"/>
        <v>1504.4</v>
      </c>
      <c r="AG36">
        <f t="shared" si="9"/>
        <v>338.8</v>
      </c>
      <c r="AH36">
        <f t="shared" si="10"/>
        <v>220.10000000000002</v>
      </c>
      <c r="AI36">
        <f t="shared" si="11"/>
        <v>333.4</v>
      </c>
      <c r="AJ36">
        <f t="shared" si="12"/>
        <v>216.7</v>
      </c>
      <c r="AK36">
        <f t="shared" si="13"/>
        <v>333.7</v>
      </c>
    </row>
    <row r="37" spans="1:37" x14ac:dyDescent="0.25">
      <c r="A37" s="6" t="s">
        <v>34</v>
      </c>
      <c r="B37" s="6">
        <v>2013</v>
      </c>
      <c r="C37" s="6" t="s">
        <v>46</v>
      </c>
      <c r="D37" s="3">
        <v>119.1</v>
      </c>
      <c r="E37" s="3">
        <v>116.7</v>
      </c>
      <c r="F37" s="3">
        <v>123.5</v>
      </c>
      <c r="G37" s="3">
        <v>113.4</v>
      </c>
      <c r="H37" s="3">
        <v>107.3</v>
      </c>
      <c r="I37" s="3">
        <v>113.3</v>
      </c>
      <c r="J37" s="3">
        <v>145.4</v>
      </c>
      <c r="K37" s="3">
        <v>108.7</v>
      </c>
      <c r="L37" s="3">
        <v>101.5</v>
      </c>
      <c r="M37" s="3">
        <v>110.5</v>
      </c>
      <c r="N37" s="3">
        <v>112.1</v>
      </c>
      <c r="O37" s="3">
        <v>117.4</v>
      </c>
      <c r="P37" s="3">
        <v>118.4</v>
      </c>
      <c r="Q37" s="3">
        <v>114</v>
      </c>
      <c r="R37" s="3">
        <v>115.2</v>
      </c>
      <c r="S37" s="3">
        <v>112.7</v>
      </c>
      <c r="T37" s="3">
        <v>114.8</v>
      </c>
      <c r="U37" s="3">
        <v>110.7</v>
      </c>
      <c r="V37" s="3">
        <f t="shared" si="7"/>
        <v>110.7</v>
      </c>
      <c r="W37" s="3">
        <v>111.9</v>
      </c>
      <c r="X37" s="3">
        <v>111.7</v>
      </c>
      <c r="Y37" s="3">
        <v>109.7</v>
      </c>
      <c r="Z37" s="3">
        <v>109.8</v>
      </c>
      <c r="AA37" s="3">
        <v>109</v>
      </c>
      <c r="AB37" s="3">
        <v>111.5</v>
      </c>
      <c r="AC37" s="3">
        <v>107.9</v>
      </c>
      <c r="AD37" s="3">
        <v>110</v>
      </c>
      <c r="AE37" s="3">
        <v>114.5</v>
      </c>
      <c r="AF37">
        <f t="shared" si="8"/>
        <v>1507.3000000000002</v>
      </c>
      <c r="AG37">
        <f t="shared" si="9"/>
        <v>342.7</v>
      </c>
      <c r="AH37">
        <f t="shared" si="10"/>
        <v>221.7</v>
      </c>
      <c r="AI37">
        <f t="shared" si="11"/>
        <v>333.9</v>
      </c>
      <c r="AJ37">
        <f t="shared" si="12"/>
        <v>217.60000000000002</v>
      </c>
      <c r="AK37">
        <f t="shared" si="13"/>
        <v>333</v>
      </c>
    </row>
    <row r="38" spans="1:37" x14ac:dyDescent="0.25">
      <c r="A38" s="6" t="s">
        <v>30</v>
      </c>
      <c r="B38" s="6">
        <v>2014</v>
      </c>
      <c r="C38" s="6" t="s">
        <v>31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v>114</v>
      </c>
      <c r="R38" s="3">
        <v>116.5</v>
      </c>
      <c r="S38" s="3">
        <v>114.5</v>
      </c>
      <c r="T38" s="3">
        <v>116.2</v>
      </c>
      <c r="U38" s="3" t="s">
        <v>32</v>
      </c>
      <c r="V38" s="3">
        <f t="shared" si="7"/>
        <v>111.6</v>
      </c>
      <c r="W38" s="3">
        <v>113</v>
      </c>
      <c r="X38" s="3">
        <v>112.6</v>
      </c>
      <c r="Y38" s="3">
        <v>110.6</v>
      </c>
      <c r="Z38" s="3">
        <v>110.5</v>
      </c>
      <c r="AA38" s="3">
        <v>109.6</v>
      </c>
      <c r="AB38" s="3">
        <v>111.8</v>
      </c>
      <c r="AC38" s="3">
        <v>108.3</v>
      </c>
      <c r="AD38" s="3">
        <v>110.6</v>
      </c>
      <c r="AE38" s="3">
        <v>114.2</v>
      </c>
      <c r="AF38">
        <f t="shared" si="8"/>
        <v>1486.6000000000001</v>
      </c>
      <c r="AG38">
        <f t="shared" si="9"/>
        <v>347.2</v>
      </c>
      <c r="AH38">
        <f t="shared" si="10"/>
        <v>223.5</v>
      </c>
      <c r="AI38">
        <f t="shared" si="11"/>
        <v>336</v>
      </c>
      <c r="AJ38">
        <f t="shared" si="12"/>
        <v>218.89999999999998</v>
      </c>
      <c r="AK38">
        <f t="shared" si="13"/>
        <v>334.2</v>
      </c>
    </row>
    <row r="39" spans="1:37" x14ac:dyDescent="0.25">
      <c r="A39" s="6" t="s">
        <v>33</v>
      </c>
      <c r="B39" s="6">
        <v>2014</v>
      </c>
      <c r="C39" s="6" t="s">
        <v>31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v>115.7</v>
      </c>
      <c r="R39" s="3">
        <v>114.8</v>
      </c>
      <c r="S39" s="3">
        <v>111.3</v>
      </c>
      <c r="T39" s="3">
        <v>114.3</v>
      </c>
      <c r="U39" s="3">
        <v>111.6</v>
      </c>
      <c r="V39" s="3">
        <f t="shared" si="7"/>
        <v>111.6</v>
      </c>
      <c r="W39" s="3">
        <v>111</v>
      </c>
      <c r="X39" s="3">
        <v>111.9</v>
      </c>
      <c r="Y39" s="3">
        <v>109.7</v>
      </c>
      <c r="Z39" s="3">
        <v>110.8</v>
      </c>
      <c r="AA39" s="3">
        <v>109.8</v>
      </c>
      <c r="AB39" s="3">
        <v>111.5</v>
      </c>
      <c r="AC39" s="3">
        <v>108</v>
      </c>
      <c r="AD39" s="3">
        <v>110.5</v>
      </c>
      <c r="AE39" s="3">
        <v>112.9</v>
      </c>
      <c r="AF39">
        <f t="shared" si="8"/>
        <v>1484.3</v>
      </c>
      <c r="AG39">
        <f t="shared" si="9"/>
        <v>340.4</v>
      </c>
      <c r="AH39">
        <f t="shared" si="10"/>
        <v>221.8</v>
      </c>
      <c r="AI39">
        <f t="shared" si="11"/>
        <v>335</v>
      </c>
      <c r="AJ39">
        <f t="shared" si="12"/>
        <v>217.7</v>
      </c>
      <c r="AK39">
        <f t="shared" si="13"/>
        <v>336</v>
      </c>
    </row>
    <row r="40" spans="1:37" x14ac:dyDescent="0.25">
      <c r="A40" s="6" t="s">
        <v>34</v>
      </c>
      <c r="B40" s="6">
        <v>2014</v>
      </c>
      <c r="C40" s="6" t="s">
        <v>31</v>
      </c>
      <c r="D40" s="3">
        <v>119.6</v>
      </c>
      <c r="E40" s="3">
        <v>118.8</v>
      </c>
      <c r="F40" s="3">
        <v>124.1</v>
      </c>
      <c r="G40" s="3">
        <v>114.1</v>
      </c>
      <c r="H40" s="3">
        <v>106.8</v>
      </c>
      <c r="I40" s="3">
        <v>113.9</v>
      </c>
      <c r="J40" s="3">
        <v>122.2</v>
      </c>
      <c r="K40" s="3">
        <v>108.9</v>
      </c>
      <c r="L40" s="3">
        <v>100.2</v>
      </c>
      <c r="M40" s="3">
        <v>111</v>
      </c>
      <c r="N40" s="3">
        <v>112.3</v>
      </c>
      <c r="O40" s="3">
        <v>118.1</v>
      </c>
      <c r="P40" s="3">
        <v>115.8</v>
      </c>
      <c r="Q40" s="3">
        <v>114.5</v>
      </c>
      <c r="R40" s="3">
        <v>115.8</v>
      </c>
      <c r="S40" s="3">
        <v>113.2</v>
      </c>
      <c r="T40" s="3">
        <v>115.4</v>
      </c>
      <c r="U40" s="3">
        <v>111.6</v>
      </c>
      <c r="V40" s="3">
        <f t="shared" si="7"/>
        <v>111.6</v>
      </c>
      <c r="W40" s="3">
        <v>112.2</v>
      </c>
      <c r="X40" s="3">
        <v>112.3</v>
      </c>
      <c r="Y40" s="3">
        <v>110.3</v>
      </c>
      <c r="Z40" s="3">
        <v>110.7</v>
      </c>
      <c r="AA40" s="3">
        <v>109.7</v>
      </c>
      <c r="AB40" s="3">
        <v>111.6</v>
      </c>
      <c r="AC40" s="3">
        <v>108.2</v>
      </c>
      <c r="AD40" s="3">
        <v>110.6</v>
      </c>
      <c r="AE40" s="3">
        <v>113.6</v>
      </c>
      <c r="AF40">
        <f t="shared" si="8"/>
        <v>1485.7999999999997</v>
      </c>
      <c r="AG40">
        <f t="shared" si="9"/>
        <v>344.4</v>
      </c>
      <c r="AH40">
        <f t="shared" si="10"/>
        <v>222.9</v>
      </c>
      <c r="AI40">
        <f t="shared" si="11"/>
        <v>335.5</v>
      </c>
      <c r="AJ40">
        <f t="shared" si="12"/>
        <v>218.5</v>
      </c>
      <c r="AK40">
        <f t="shared" si="13"/>
        <v>334.79999999999995</v>
      </c>
    </row>
    <row r="41" spans="1:37" x14ac:dyDescent="0.25">
      <c r="A41" s="6" t="s">
        <v>30</v>
      </c>
      <c r="B41" s="6">
        <v>2014</v>
      </c>
      <c r="C41" s="6" t="s">
        <v>35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v>114.2</v>
      </c>
      <c r="R41" s="3">
        <v>117.1</v>
      </c>
      <c r="S41" s="3">
        <v>114.5</v>
      </c>
      <c r="T41" s="3">
        <v>116.7</v>
      </c>
      <c r="U41" s="3" t="s">
        <v>32</v>
      </c>
      <c r="V41" s="3">
        <f t="shared" si="7"/>
        <v>112.5</v>
      </c>
      <c r="W41" s="3">
        <v>113.2</v>
      </c>
      <c r="X41" s="3">
        <v>112.9</v>
      </c>
      <c r="Y41" s="3">
        <v>110.9</v>
      </c>
      <c r="Z41" s="3">
        <v>110.8</v>
      </c>
      <c r="AA41" s="3">
        <v>109.9</v>
      </c>
      <c r="AB41" s="3">
        <v>112</v>
      </c>
      <c r="AC41" s="3">
        <v>108.7</v>
      </c>
      <c r="AD41" s="3">
        <v>110.9</v>
      </c>
      <c r="AE41" s="3">
        <v>114</v>
      </c>
      <c r="AF41">
        <f t="shared" si="8"/>
        <v>1482.2</v>
      </c>
      <c r="AG41">
        <f t="shared" si="9"/>
        <v>348.3</v>
      </c>
      <c r="AH41">
        <f t="shared" si="10"/>
        <v>224</v>
      </c>
      <c r="AI41">
        <f t="shared" si="11"/>
        <v>337.4</v>
      </c>
      <c r="AJ41">
        <f t="shared" si="12"/>
        <v>219.60000000000002</v>
      </c>
      <c r="AK41">
        <f t="shared" si="13"/>
        <v>335</v>
      </c>
    </row>
    <row r="42" spans="1:37" x14ac:dyDescent="0.25">
      <c r="A42" s="6" t="s">
        <v>33</v>
      </c>
      <c r="B42" s="6">
        <v>2014</v>
      </c>
      <c r="C42" s="6" t="s">
        <v>35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v>116.2</v>
      </c>
      <c r="R42" s="3">
        <v>115.3</v>
      </c>
      <c r="S42" s="3">
        <v>111.7</v>
      </c>
      <c r="T42" s="3">
        <v>114.7</v>
      </c>
      <c r="U42" s="3">
        <v>112.5</v>
      </c>
      <c r="V42" s="3">
        <f t="shared" si="7"/>
        <v>112.5</v>
      </c>
      <c r="W42" s="3">
        <v>111.1</v>
      </c>
      <c r="X42" s="3">
        <v>112.6</v>
      </c>
      <c r="Y42" s="3">
        <v>110.4</v>
      </c>
      <c r="Z42" s="3">
        <v>111.3</v>
      </c>
      <c r="AA42" s="3">
        <v>110.3</v>
      </c>
      <c r="AB42" s="3">
        <v>111.6</v>
      </c>
      <c r="AC42" s="3">
        <v>108.7</v>
      </c>
      <c r="AD42" s="3">
        <v>111</v>
      </c>
      <c r="AE42" s="3">
        <v>113.1</v>
      </c>
      <c r="AF42">
        <f t="shared" si="8"/>
        <v>1476</v>
      </c>
      <c r="AG42">
        <f t="shared" si="9"/>
        <v>341.7</v>
      </c>
      <c r="AH42">
        <f t="shared" si="10"/>
        <v>222.39999999999998</v>
      </c>
      <c r="AI42">
        <f t="shared" si="11"/>
        <v>336.7</v>
      </c>
      <c r="AJ42">
        <f t="shared" si="12"/>
        <v>219.10000000000002</v>
      </c>
      <c r="AK42">
        <f t="shared" si="13"/>
        <v>337.5</v>
      </c>
    </row>
    <row r="43" spans="1:37" x14ac:dyDescent="0.25">
      <c r="A43" s="6" t="s">
        <v>34</v>
      </c>
      <c r="B43" s="6">
        <v>2014</v>
      </c>
      <c r="C43" s="6" t="s">
        <v>35</v>
      </c>
      <c r="D43" s="3">
        <v>120.2</v>
      </c>
      <c r="E43" s="3">
        <v>119.2</v>
      </c>
      <c r="F43" s="3">
        <v>122.5</v>
      </c>
      <c r="G43" s="3">
        <v>115.1</v>
      </c>
      <c r="H43" s="3">
        <v>106.6</v>
      </c>
      <c r="I43" s="3">
        <v>115.4</v>
      </c>
      <c r="J43" s="3">
        <v>114.5</v>
      </c>
      <c r="K43" s="3">
        <v>109.3</v>
      </c>
      <c r="L43" s="3">
        <v>99.2</v>
      </c>
      <c r="M43" s="3">
        <v>111.4</v>
      </c>
      <c r="N43" s="3">
        <v>112.6</v>
      </c>
      <c r="O43" s="3">
        <v>118.8</v>
      </c>
      <c r="P43" s="3">
        <v>115.3</v>
      </c>
      <c r="Q43" s="3">
        <v>114.7</v>
      </c>
      <c r="R43" s="3">
        <v>116.4</v>
      </c>
      <c r="S43" s="3">
        <v>113.3</v>
      </c>
      <c r="T43" s="3">
        <v>115.9</v>
      </c>
      <c r="U43" s="3">
        <v>112.5</v>
      </c>
      <c r="V43" s="3">
        <f t="shared" si="7"/>
        <v>112.5</v>
      </c>
      <c r="W43" s="3">
        <v>112.4</v>
      </c>
      <c r="X43" s="3">
        <v>112.8</v>
      </c>
      <c r="Y43" s="3">
        <v>110.7</v>
      </c>
      <c r="Z43" s="3">
        <v>111.1</v>
      </c>
      <c r="AA43" s="3">
        <v>110.1</v>
      </c>
      <c r="AB43" s="3">
        <v>111.8</v>
      </c>
      <c r="AC43" s="3">
        <v>108.7</v>
      </c>
      <c r="AD43" s="3">
        <v>110.9</v>
      </c>
      <c r="AE43" s="3">
        <v>113.6</v>
      </c>
      <c r="AF43">
        <f t="shared" si="8"/>
        <v>1480.1</v>
      </c>
      <c r="AG43">
        <f t="shared" si="9"/>
        <v>345.6</v>
      </c>
      <c r="AH43">
        <f t="shared" si="10"/>
        <v>223.5</v>
      </c>
      <c r="AI43">
        <f t="shared" si="11"/>
        <v>337.1</v>
      </c>
      <c r="AJ43">
        <f t="shared" si="12"/>
        <v>219.4</v>
      </c>
      <c r="AK43">
        <f t="shared" si="13"/>
        <v>335.70000000000005</v>
      </c>
    </row>
    <row r="44" spans="1:37" x14ac:dyDescent="0.25">
      <c r="A44" s="6" t="s">
        <v>30</v>
      </c>
      <c r="B44" s="6">
        <v>2014</v>
      </c>
      <c r="C44" s="6" t="s">
        <v>36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v>114.6</v>
      </c>
      <c r="R44" s="3">
        <v>117.5</v>
      </c>
      <c r="S44" s="3">
        <v>114.9</v>
      </c>
      <c r="T44" s="3">
        <v>117.2</v>
      </c>
      <c r="U44" s="3" t="s">
        <v>32</v>
      </c>
      <c r="V44" s="3">
        <f t="shared" si="7"/>
        <v>113.2</v>
      </c>
      <c r="W44" s="3">
        <v>113.4</v>
      </c>
      <c r="X44" s="3">
        <v>113.4</v>
      </c>
      <c r="Y44" s="3">
        <v>111.4</v>
      </c>
      <c r="Z44" s="3">
        <v>111.2</v>
      </c>
      <c r="AA44" s="3">
        <v>110.2</v>
      </c>
      <c r="AB44" s="3">
        <v>112.4</v>
      </c>
      <c r="AC44" s="3">
        <v>108.9</v>
      </c>
      <c r="AD44" s="3">
        <v>111.3</v>
      </c>
      <c r="AE44" s="3">
        <v>114.6</v>
      </c>
      <c r="AF44">
        <f t="shared" si="8"/>
        <v>1491.4</v>
      </c>
      <c r="AG44">
        <f t="shared" si="9"/>
        <v>349.6</v>
      </c>
      <c r="AH44">
        <f t="shared" si="10"/>
        <v>224.60000000000002</v>
      </c>
      <c r="AI44">
        <f t="shared" si="11"/>
        <v>339</v>
      </c>
      <c r="AJ44">
        <f t="shared" si="12"/>
        <v>220.3</v>
      </c>
      <c r="AK44">
        <f t="shared" si="13"/>
        <v>336.1</v>
      </c>
    </row>
    <row r="45" spans="1:37" x14ac:dyDescent="0.25">
      <c r="A45" s="6" t="s">
        <v>33</v>
      </c>
      <c r="B45" s="6">
        <v>2014</v>
      </c>
      <c r="C45" s="6" t="s">
        <v>36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v>116.7</v>
      </c>
      <c r="R45" s="3">
        <v>115.8</v>
      </c>
      <c r="S45" s="3">
        <v>112.1</v>
      </c>
      <c r="T45" s="3">
        <v>115.2</v>
      </c>
      <c r="U45" s="3">
        <v>113.2</v>
      </c>
      <c r="V45" s="3">
        <f t="shared" si="7"/>
        <v>113.2</v>
      </c>
      <c r="W45" s="3">
        <v>110.9</v>
      </c>
      <c r="X45" s="3">
        <v>113</v>
      </c>
      <c r="Y45" s="3">
        <v>110.8</v>
      </c>
      <c r="Z45" s="3">
        <v>111.6</v>
      </c>
      <c r="AA45" s="3">
        <v>110.9</v>
      </c>
      <c r="AB45" s="3">
        <v>111.8</v>
      </c>
      <c r="AC45" s="3">
        <v>109.2</v>
      </c>
      <c r="AD45" s="3">
        <v>111.4</v>
      </c>
      <c r="AE45" s="3">
        <v>113.7</v>
      </c>
      <c r="AF45">
        <f t="shared" si="8"/>
        <v>1483</v>
      </c>
      <c r="AG45">
        <f t="shared" si="9"/>
        <v>343.09999999999997</v>
      </c>
      <c r="AH45">
        <f t="shared" si="10"/>
        <v>222.5</v>
      </c>
      <c r="AI45">
        <f t="shared" si="11"/>
        <v>338</v>
      </c>
      <c r="AJ45">
        <f t="shared" si="12"/>
        <v>220</v>
      </c>
      <c r="AK45">
        <f t="shared" si="13"/>
        <v>339</v>
      </c>
    </row>
    <row r="46" spans="1:37" x14ac:dyDescent="0.25">
      <c r="A46" s="6" t="s">
        <v>34</v>
      </c>
      <c r="B46" s="6">
        <v>2014</v>
      </c>
      <c r="C46" s="6" t="s">
        <v>36</v>
      </c>
      <c r="D46" s="3">
        <v>120.7</v>
      </c>
      <c r="E46" s="3">
        <v>119.3</v>
      </c>
      <c r="F46" s="3">
        <v>121</v>
      </c>
      <c r="G46" s="3">
        <v>116.1</v>
      </c>
      <c r="H46" s="3">
        <v>106.9</v>
      </c>
      <c r="I46" s="3">
        <v>118.7</v>
      </c>
      <c r="J46" s="3">
        <v>116.3</v>
      </c>
      <c r="K46" s="3">
        <v>109.8</v>
      </c>
      <c r="L46" s="3">
        <v>99.6</v>
      </c>
      <c r="M46" s="3">
        <v>111.8</v>
      </c>
      <c r="N46" s="3">
        <v>112.7</v>
      </c>
      <c r="O46" s="3">
        <v>119.3</v>
      </c>
      <c r="P46" s="3">
        <v>116.1</v>
      </c>
      <c r="Q46" s="3">
        <v>115.2</v>
      </c>
      <c r="R46" s="3">
        <v>116.8</v>
      </c>
      <c r="S46" s="3">
        <v>113.7</v>
      </c>
      <c r="T46" s="3">
        <v>116.4</v>
      </c>
      <c r="U46" s="3">
        <v>113.2</v>
      </c>
      <c r="V46" s="3">
        <f t="shared" si="7"/>
        <v>113.2</v>
      </c>
      <c r="W46" s="3">
        <v>112.5</v>
      </c>
      <c r="X46" s="3">
        <v>113.2</v>
      </c>
      <c r="Y46" s="3">
        <v>111.2</v>
      </c>
      <c r="Z46" s="3">
        <v>111.4</v>
      </c>
      <c r="AA46" s="3">
        <v>110.6</v>
      </c>
      <c r="AB46" s="3">
        <v>112</v>
      </c>
      <c r="AC46" s="3">
        <v>109</v>
      </c>
      <c r="AD46" s="3">
        <v>111.3</v>
      </c>
      <c r="AE46" s="3">
        <v>114.2</v>
      </c>
      <c r="AF46">
        <f t="shared" si="8"/>
        <v>1488.2999999999997</v>
      </c>
      <c r="AG46">
        <f t="shared" si="9"/>
        <v>346.9</v>
      </c>
      <c r="AH46">
        <f t="shared" si="10"/>
        <v>223.9</v>
      </c>
      <c r="AI46">
        <f t="shared" si="11"/>
        <v>338.4</v>
      </c>
      <c r="AJ46">
        <f t="shared" si="12"/>
        <v>220.2</v>
      </c>
      <c r="AK46">
        <f t="shared" si="13"/>
        <v>337.1</v>
      </c>
    </row>
    <row r="47" spans="1:37" x14ac:dyDescent="0.25">
      <c r="A47" s="6" t="s">
        <v>30</v>
      </c>
      <c r="B47" s="6">
        <v>2014</v>
      </c>
      <c r="C47" s="6" t="s">
        <v>37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v>115.4</v>
      </c>
      <c r="R47" s="3">
        <v>118.1</v>
      </c>
      <c r="S47" s="3">
        <v>116.1</v>
      </c>
      <c r="T47" s="3">
        <v>117.8</v>
      </c>
      <c r="U47" s="3" t="s">
        <v>32</v>
      </c>
      <c r="V47" s="3">
        <f t="shared" si="7"/>
        <v>113.9</v>
      </c>
      <c r="W47" s="3">
        <v>113.4</v>
      </c>
      <c r="X47" s="3">
        <v>113.7</v>
      </c>
      <c r="Y47" s="3">
        <v>111.8</v>
      </c>
      <c r="Z47" s="3">
        <v>111.2</v>
      </c>
      <c r="AA47" s="3">
        <v>110.5</v>
      </c>
      <c r="AB47" s="3">
        <v>113</v>
      </c>
      <c r="AC47" s="3">
        <v>108.9</v>
      </c>
      <c r="AD47" s="3">
        <v>111.5</v>
      </c>
      <c r="AE47" s="3">
        <v>115.4</v>
      </c>
      <c r="AF47">
        <f t="shared" si="8"/>
        <v>1504.1000000000001</v>
      </c>
      <c r="AG47">
        <f t="shared" si="9"/>
        <v>352</v>
      </c>
      <c r="AH47">
        <f t="shared" si="10"/>
        <v>224.60000000000002</v>
      </c>
      <c r="AI47">
        <f t="shared" si="11"/>
        <v>340.6</v>
      </c>
      <c r="AJ47">
        <f t="shared" si="12"/>
        <v>220.7</v>
      </c>
      <c r="AK47">
        <f t="shared" si="13"/>
        <v>337.4</v>
      </c>
    </row>
    <row r="48" spans="1:37" x14ac:dyDescent="0.25">
      <c r="A48" s="6" t="s">
        <v>33</v>
      </c>
      <c r="B48" s="6">
        <v>2014</v>
      </c>
      <c r="C48" s="6" t="s">
        <v>37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v>117.6</v>
      </c>
      <c r="R48" s="3">
        <v>116.3</v>
      </c>
      <c r="S48" s="3">
        <v>112.5</v>
      </c>
      <c r="T48" s="3">
        <v>115.7</v>
      </c>
      <c r="U48" s="3">
        <v>113.9</v>
      </c>
      <c r="V48" s="3">
        <f t="shared" si="7"/>
        <v>113.9</v>
      </c>
      <c r="W48" s="3">
        <v>110.9</v>
      </c>
      <c r="X48" s="3">
        <v>113.4</v>
      </c>
      <c r="Y48" s="3">
        <v>111</v>
      </c>
      <c r="Z48" s="3">
        <v>111.2</v>
      </c>
      <c r="AA48" s="3">
        <v>111.2</v>
      </c>
      <c r="AB48" s="3">
        <v>112.5</v>
      </c>
      <c r="AC48" s="3">
        <v>109.1</v>
      </c>
      <c r="AD48" s="3">
        <v>111.4</v>
      </c>
      <c r="AE48" s="3">
        <v>114.7</v>
      </c>
      <c r="AF48">
        <f t="shared" si="8"/>
        <v>1504.0000000000002</v>
      </c>
      <c r="AG48">
        <f t="shared" si="9"/>
        <v>344.5</v>
      </c>
      <c r="AH48">
        <f t="shared" si="10"/>
        <v>222.10000000000002</v>
      </c>
      <c r="AI48">
        <f t="shared" si="11"/>
        <v>339.8</v>
      </c>
      <c r="AJ48">
        <f t="shared" si="12"/>
        <v>220.1</v>
      </c>
      <c r="AK48">
        <f t="shared" si="13"/>
        <v>340.20000000000005</v>
      </c>
    </row>
    <row r="49" spans="1:37" x14ac:dyDescent="0.25">
      <c r="A49" s="6" t="s">
        <v>34</v>
      </c>
      <c r="B49" s="6">
        <v>2014</v>
      </c>
      <c r="C49" s="6" t="s">
        <v>37</v>
      </c>
      <c r="D49" s="3">
        <v>120.9</v>
      </c>
      <c r="E49" s="3">
        <v>119.9</v>
      </c>
      <c r="F49" s="3">
        <v>116.2</v>
      </c>
      <c r="G49" s="3">
        <v>117</v>
      </c>
      <c r="H49" s="3">
        <v>107.3</v>
      </c>
      <c r="I49" s="3">
        <v>126.1</v>
      </c>
      <c r="J49" s="3">
        <v>120.7</v>
      </c>
      <c r="K49" s="3">
        <v>111</v>
      </c>
      <c r="L49" s="3">
        <v>101.8</v>
      </c>
      <c r="M49" s="3">
        <v>112.6</v>
      </c>
      <c r="N49" s="3">
        <v>113.2</v>
      </c>
      <c r="O49" s="3">
        <v>119.8</v>
      </c>
      <c r="P49" s="3">
        <v>117.6</v>
      </c>
      <c r="Q49" s="3">
        <v>116</v>
      </c>
      <c r="R49" s="3">
        <v>117.4</v>
      </c>
      <c r="S49" s="3">
        <v>114.6</v>
      </c>
      <c r="T49" s="3">
        <v>117</v>
      </c>
      <c r="U49" s="3">
        <v>113.9</v>
      </c>
      <c r="V49" s="3">
        <f t="shared" si="7"/>
        <v>113.9</v>
      </c>
      <c r="W49" s="3">
        <v>112.5</v>
      </c>
      <c r="X49" s="3">
        <v>113.6</v>
      </c>
      <c r="Y49" s="3">
        <v>111.5</v>
      </c>
      <c r="Z49" s="3">
        <v>111.2</v>
      </c>
      <c r="AA49" s="3">
        <v>110.9</v>
      </c>
      <c r="AB49" s="3">
        <v>112.7</v>
      </c>
      <c r="AC49" s="3">
        <v>109</v>
      </c>
      <c r="AD49" s="3">
        <v>111.5</v>
      </c>
      <c r="AE49" s="3">
        <v>115.1</v>
      </c>
      <c r="AF49">
        <f t="shared" si="8"/>
        <v>1504.1</v>
      </c>
      <c r="AG49">
        <f t="shared" si="9"/>
        <v>349</v>
      </c>
      <c r="AH49">
        <f t="shared" si="10"/>
        <v>223.7</v>
      </c>
      <c r="AI49">
        <f t="shared" si="11"/>
        <v>340.2</v>
      </c>
      <c r="AJ49">
        <f t="shared" si="12"/>
        <v>220.5</v>
      </c>
      <c r="AK49">
        <f t="shared" si="13"/>
        <v>338.4</v>
      </c>
    </row>
    <row r="50" spans="1:37" x14ac:dyDescent="0.25">
      <c r="A50" s="6" t="s">
        <v>30</v>
      </c>
      <c r="B50" s="6">
        <v>2014</v>
      </c>
      <c r="C50" s="6" t="s">
        <v>38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v>116.3</v>
      </c>
      <c r="R50" s="3">
        <v>118.7</v>
      </c>
      <c r="S50" s="3">
        <v>116.8</v>
      </c>
      <c r="T50" s="3">
        <v>118.5</v>
      </c>
      <c r="U50" s="3" t="s">
        <v>32</v>
      </c>
      <c r="V50" s="3">
        <f t="shared" si="7"/>
        <v>114.3</v>
      </c>
      <c r="W50" s="3">
        <v>113.4</v>
      </c>
      <c r="X50" s="3">
        <v>114.1</v>
      </c>
      <c r="Y50" s="3">
        <v>112.1</v>
      </c>
      <c r="Z50" s="3">
        <v>111.4</v>
      </c>
      <c r="AA50" s="3">
        <v>110.9</v>
      </c>
      <c r="AB50" s="3">
        <v>113.1</v>
      </c>
      <c r="AC50" s="3">
        <v>108.9</v>
      </c>
      <c r="AD50" s="3">
        <v>111.8</v>
      </c>
      <c r="AE50" s="3">
        <v>116</v>
      </c>
      <c r="AF50">
        <f t="shared" si="8"/>
        <v>1513.8999999999999</v>
      </c>
      <c r="AG50">
        <f t="shared" si="9"/>
        <v>354</v>
      </c>
      <c r="AH50">
        <f t="shared" si="10"/>
        <v>224.8</v>
      </c>
      <c r="AI50">
        <f t="shared" si="11"/>
        <v>341.5</v>
      </c>
      <c r="AJ50">
        <f t="shared" si="12"/>
        <v>221</v>
      </c>
      <c r="AK50">
        <f t="shared" si="13"/>
        <v>339</v>
      </c>
    </row>
    <row r="51" spans="1:37" x14ac:dyDescent="0.25">
      <c r="A51" s="6" t="s">
        <v>33</v>
      </c>
      <c r="B51" s="6">
        <v>2014</v>
      </c>
      <c r="C51" s="6" t="s">
        <v>38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v>118.3</v>
      </c>
      <c r="R51" s="3">
        <v>116.8</v>
      </c>
      <c r="S51" s="3">
        <v>112.9</v>
      </c>
      <c r="T51" s="3">
        <v>116.2</v>
      </c>
      <c r="U51" s="3">
        <v>114.3</v>
      </c>
      <c r="V51" s="3">
        <f t="shared" si="7"/>
        <v>114.3</v>
      </c>
      <c r="W51" s="3">
        <v>111.1</v>
      </c>
      <c r="X51" s="3">
        <v>114.1</v>
      </c>
      <c r="Y51" s="3">
        <v>111.2</v>
      </c>
      <c r="Z51" s="3">
        <v>111.3</v>
      </c>
      <c r="AA51" s="3">
        <v>111.5</v>
      </c>
      <c r="AB51" s="3">
        <v>112.9</v>
      </c>
      <c r="AC51" s="3">
        <v>109.3</v>
      </c>
      <c r="AD51" s="3">
        <v>111.7</v>
      </c>
      <c r="AE51" s="3">
        <v>115.6</v>
      </c>
      <c r="AF51">
        <f t="shared" si="8"/>
        <v>1525.3000000000002</v>
      </c>
      <c r="AG51">
        <f t="shared" si="9"/>
        <v>345.9</v>
      </c>
      <c r="AH51">
        <f t="shared" si="10"/>
        <v>222.39999999999998</v>
      </c>
      <c r="AI51">
        <f t="shared" si="11"/>
        <v>341.29999999999995</v>
      </c>
      <c r="AJ51">
        <f t="shared" si="12"/>
        <v>220.5</v>
      </c>
      <c r="AK51">
        <f t="shared" si="13"/>
        <v>341.5</v>
      </c>
    </row>
    <row r="52" spans="1:37" x14ac:dyDescent="0.25">
      <c r="A52" s="6" t="s">
        <v>34</v>
      </c>
      <c r="B52" s="6">
        <v>2014</v>
      </c>
      <c r="C52" s="6" t="s">
        <v>38</v>
      </c>
      <c r="D52" s="3">
        <v>121.1</v>
      </c>
      <c r="E52" s="3">
        <v>121.6</v>
      </c>
      <c r="F52" s="3">
        <v>115.9</v>
      </c>
      <c r="G52" s="3">
        <v>118.4</v>
      </c>
      <c r="H52" s="3">
        <v>107.7</v>
      </c>
      <c r="I52" s="3">
        <v>127.7</v>
      </c>
      <c r="J52" s="3">
        <v>125</v>
      </c>
      <c r="K52" s="3">
        <v>111.9</v>
      </c>
      <c r="L52" s="3">
        <v>102.8</v>
      </c>
      <c r="M52" s="3">
        <v>113.4</v>
      </c>
      <c r="N52" s="3">
        <v>113.7</v>
      </c>
      <c r="O52" s="3">
        <v>120.4</v>
      </c>
      <c r="P52" s="3">
        <v>118.9</v>
      </c>
      <c r="Q52" s="3">
        <v>116.8</v>
      </c>
      <c r="R52" s="3">
        <v>118</v>
      </c>
      <c r="S52" s="3">
        <v>115.2</v>
      </c>
      <c r="T52" s="3">
        <v>117.6</v>
      </c>
      <c r="U52" s="3">
        <v>114.3</v>
      </c>
      <c r="V52" s="3">
        <f t="shared" si="7"/>
        <v>114.3</v>
      </c>
      <c r="W52" s="3">
        <v>112.5</v>
      </c>
      <c r="X52" s="3">
        <v>114.1</v>
      </c>
      <c r="Y52" s="3">
        <v>111.8</v>
      </c>
      <c r="Z52" s="3">
        <v>111.3</v>
      </c>
      <c r="AA52" s="3">
        <v>111.2</v>
      </c>
      <c r="AB52" s="3">
        <v>113</v>
      </c>
      <c r="AC52" s="3">
        <v>109.1</v>
      </c>
      <c r="AD52" s="3">
        <v>111.8</v>
      </c>
      <c r="AE52" s="3">
        <v>115.8</v>
      </c>
      <c r="AF52">
        <f t="shared" si="8"/>
        <v>1518.5000000000005</v>
      </c>
      <c r="AG52">
        <f t="shared" si="9"/>
        <v>350.79999999999995</v>
      </c>
      <c r="AH52">
        <f t="shared" si="10"/>
        <v>223.8</v>
      </c>
      <c r="AI52">
        <f t="shared" si="11"/>
        <v>341.4</v>
      </c>
      <c r="AJ52">
        <f t="shared" si="12"/>
        <v>220.89999999999998</v>
      </c>
      <c r="AK52">
        <f t="shared" si="13"/>
        <v>339.8</v>
      </c>
    </row>
    <row r="53" spans="1:37" x14ac:dyDescent="0.25">
      <c r="A53" s="6" t="s">
        <v>30</v>
      </c>
      <c r="B53" s="6">
        <v>2014</v>
      </c>
      <c r="C53" s="6" t="s">
        <v>39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v>117.3</v>
      </c>
      <c r="R53" s="3">
        <v>119.7</v>
      </c>
      <c r="S53" s="3">
        <v>117.3</v>
      </c>
      <c r="T53" s="3">
        <v>119.3</v>
      </c>
      <c r="U53" s="3" t="s">
        <v>32</v>
      </c>
      <c r="V53" s="3">
        <f t="shared" si="7"/>
        <v>113.9</v>
      </c>
      <c r="W53" s="3">
        <v>114.4</v>
      </c>
      <c r="X53" s="3">
        <v>114.9</v>
      </c>
      <c r="Y53" s="3">
        <v>112.8</v>
      </c>
      <c r="Z53" s="3">
        <v>112.2</v>
      </c>
      <c r="AA53" s="3">
        <v>111.4</v>
      </c>
      <c r="AB53" s="3">
        <v>114.3</v>
      </c>
      <c r="AC53" s="3">
        <v>108</v>
      </c>
      <c r="AD53" s="3">
        <v>112.3</v>
      </c>
      <c r="AE53" s="3">
        <v>117</v>
      </c>
      <c r="AF53">
        <f t="shared" si="8"/>
        <v>1525.6999999999998</v>
      </c>
      <c r="AG53">
        <f t="shared" si="9"/>
        <v>356.3</v>
      </c>
      <c r="AH53">
        <f t="shared" si="10"/>
        <v>226.60000000000002</v>
      </c>
      <c r="AI53">
        <f t="shared" si="11"/>
        <v>343.1</v>
      </c>
      <c r="AJ53">
        <f t="shared" si="12"/>
        <v>220.8</v>
      </c>
      <c r="AK53">
        <f t="shared" si="13"/>
        <v>341</v>
      </c>
    </row>
    <row r="54" spans="1:37" x14ac:dyDescent="0.25">
      <c r="A54" s="6" t="s">
        <v>33</v>
      </c>
      <c r="B54" s="6">
        <v>2014</v>
      </c>
      <c r="C54" s="6" t="s">
        <v>39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v>119</v>
      </c>
      <c r="R54" s="3">
        <v>117.4</v>
      </c>
      <c r="S54" s="3">
        <v>113.2</v>
      </c>
      <c r="T54" s="3">
        <v>116.7</v>
      </c>
      <c r="U54" s="3">
        <v>113.9</v>
      </c>
      <c r="V54" s="3">
        <f t="shared" si="7"/>
        <v>113.9</v>
      </c>
      <c r="W54" s="3">
        <v>111.2</v>
      </c>
      <c r="X54" s="3">
        <v>114.3</v>
      </c>
      <c r="Y54" s="3">
        <v>111.4</v>
      </c>
      <c r="Z54" s="3">
        <v>111.5</v>
      </c>
      <c r="AA54" s="3">
        <v>111.8</v>
      </c>
      <c r="AB54" s="3">
        <v>115.1</v>
      </c>
      <c r="AC54" s="3">
        <v>108.7</v>
      </c>
      <c r="AD54" s="3">
        <v>112.2</v>
      </c>
      <c r="AE54" s="3">
        <v>116.4</v>
      </c>
      <c r="AF54">
        <f t="shared" si="8"/>
        <v>1547</v>
      </c>
      <c r="AG54">
        <f t="shared" si="9"/>
        <v>347.3</v>
      </c>
      <c r="AH54">
        <f t="shared" si="10"/>
        <v>222.7</v>
      </c>
      <c r="AI54">
        <f t="shared" si="11"/>
        <v>343.29999999999995</v>
      </c>
      <c r="AJ54">
        <f t="shared" si="12"/>
        <v>220.10000000000002</v>
      </c>
      <c r="AK54">
        <f t="shared" si="13"/>
        <v>343</v>
      </c>
    </row>
    <row r="55" spans="1:37" x14ac:dyDescent="0.25">
      <c r="A55" s="6" t="s">
        <v>34</v>
      </c>
      <c r="B55" s="6">
        <v>2014</v>
      </c>
      <c r="C55" s="6" t="s">
        <v>39</v>
      </c>
      <c r="D55" s="3">
        <v>121.5</v>
      </c>
      <c r="E55" s="3">
        <v>123.1</v>
      </c>
      <c r="F55" s="3">
        <v>115.8</v>
      </c>
      <c r="G55" s="3">
        <v>119.7</v>
      </c>
      <c r="H55" s="3">
        <v>107.8</v>
      </c>
      <c r="I55" s="3">
        <v>128.30000000000001</v>
      </c>
      <c r="J55" s="3">
        <v>132.1</v>
      </c>
      <c r="K55" s="3">
        <v>112.4</v>
      </c>
      <c r="L55" s="3">
        <v>102.9</v>
      </c>
      <c r="M55" s="3">
        <v>114.3</v>
      </c>
      <c r="N55" s="3">
        <v>114.2</v>
      </c>
      <c r="O55" s="3">
        <v>121.2</v>
      </c>
      <c r="P55" s="3">
        <v>120.4</v>
      </c>
      <c r="Q55" s="3">
        <v>117.8</v>
      </c>
      <c r="R55" s="3">
        <v>118.8</v>
      </c>
      <c r="S55" s="3">
        <v>115.6</v>
      </c>
      <c r="T55" s="3">
        <v>118.3</v>
      </c>
      <c r="U55" s="3">
        <v>113.9</v>
      </c>
      <c r="V55" s="3">
        <f t="shared" si="7"/>
        <v>113.9</v>
      </c>
      <c r="W55" s="3">
        <v>113.2</v>
      </c>
      <c r="X55" s="3">
        <v>114.6</v>
      </c>
      <c r="Y55" s="3">
        <v>112.3</v>
      </c>
      <c r="Z55" s="3">
        <v>111.8</v>
      </c>
      <c r="AA55" s="3">
        <v>111.6</v>
      </c>
      <c r="AB55" s="3">
        <v>114.8</v>
      </c>
      <c r="AC55" s="3">
        <v>108.3</v>
      </c>
      <c r="AD55" s="3">
        <v>112.3</v>
      </c>
      <c r="AE55" s="3">
        <v>116.7</v>
      </c>
      <c r="AF55">
        <f t="shared" si="8"/>
        <v>1533.7000000000003</v>
      </c>
      <c r="AG55">
        <f t="shared" si="9"/>
        <v>352.7</v>
      </c>
      <c r="AH55">
        <f t="shared" si="10"/>
        <v>225</v>
      </c>
      <c r="AI55">
        <f t="shared" si="11"/>
        <v>343.3</v>
      </c>
      <c r="AJ55">
        <f t="shared" si="12"/>
        <v>220.6</v>
      </c>
      <c r="AK55">
        <f t="shared" si="13"/>
        <v>341.7</v>
      </c>
    </row>
    <row r="56" spans="1:37" x14ac:dyDescent="0.25">
      <c r="A56" s="6" t="s">
        <v>30</v>
      </c>
      <c r="B56" s="6">
        <v>2014</v>
      </c>
      <c r="C56" s="6" t="s">
        <v>40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v>118</v>
      </c>
      <c r="R56" s="3">
        <v>120.7</v>
      </c>
      <c r="S56" s="3">
        <v>118.3</v>
      </c>
      <c r="T56" s="3">
        <v>120.3</v>
      </c>
      <c r="U56" s="3" t="s">
        <v>32</v>
      </c>
      <c r="V56" s="3">
        <f t="shared" si="7"/>
        <v>114.8</v>
      </c>
      <c r="W56" s="3">
        <v>115.3</v>
      </c>
      <c r="X56" s="3">
        <v>115.4</v>
      </c>
      <c r="Y56" s="3">
        <v>113.4</v>
      </c>
      <c r="Z56" s="3">
        <v>113.2</v>
      </c>
      <c r="AA56" s="3">
        <v>111.8</v>
      </c>
      <c r="AB56" s="3">
        <v>115.5</v>
      </c>
      <c r="AC56" s="3">
        <v>108.8</v>
      </c>
      <c r="AD56" s="3">
        <v>113.1</v>
      </c>
      <c r="AE56" s="3">
        <v>119.5</v>
      </c>
      <c r="AF56">
        <f t="shared" si="8"/>
        <v>1563.2</v>
      </c>
      <c r="AG56">
        <f t="shared" si="9"/>
        <v>359.3</v>
      </c>
      <c r="AH56">
        <f t="shared" si="10"/>
        <v>228.5</v>
      </c>
      <c r="AI56">
        <f t="shared" si="11"/>
        <v>345.7</v>
      </c>
      <c r="AJ56">
        <f t="shared" si="12"/>
        <v>222.2</v>
      </c>
      <c r="AK56">
        <f t="shared" si="13"/>
        <v>342.9</v>
      </c>
    </row>
    <row r="57" spans="1:37" x14ac:dyDescent="0.25">
      <c r="A57" s="6" t="s">
        <v>33</v>
      </c>
      <c r="B57" s="6">
        <v>2014</v>
      </c>
      <c r="C57" s="6" t="s">
        <v>40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v>121</v>
      </c>
      <c r="R57" s="3">
        <v>118</v>
      </c>
      <c r="S57" s="3">
        <v>113.6</v>
      </c>
      <c r="T57" s="3">
        <v>117.4</v>
      </c>
      <c r="U57" s="3">
        <v>114.8</v>
      </c>
      <c r="V57" s="3">
        <f t="shared" si="7"/>
        <v>114.8</v>
      </c>
      <c r="W57" s="3">
        <v>111.6</v>
      </c>
      <c r="X57" s="3">
        <v>114.9</v>
      </c>
      <c r="Y57" s="3">
        <v>111.5</v>
      </c>
      <c r="Z57" s="3">
        <v>113</v>
      </c>
      <c r="AA57" s="3">
        <v>112.4</v>
      </c>
      <c r="AB57" s="3">
        <v>117.8</v>
      </c>
      <c r="AC57" s="3">
        <v>109.7</v>
      </c>
      <c r="AD57" s="3">
        <v>113.5</v>
      </c>
      <c r="AE57" s="3">
        <v>118.9</v>
      </c>
      <c r="AF57">
        <f t="shared" si="8"/>
        <v>1599.5</v>
      </c>
      <c r="AG57">
        <f t="shared" si="9"/>
        <v>349</v>
      </c>
      <c r="AH57">
        <f t="shared" si="10"/>
        <v>224.6</v>
      </c>
      <c r="AI57">
        <f t="shared" si="11"/>
        <v>347.5</v>
      </c>
      <c r="AJ57">
        <f t="shared" si="12"/>
        <v>221.2</v>
      </c>
      <c r="AK57">
        <f t="shared" si="13"/>
        <v>346.9</v>
      </c>
    </row>
    <row r="58" spans="1:37" x14ac:dyDescent="0.25">
      <c r="A58" s="6" t="s">
        <v>34</v>
      </c>
      <c r="B58" s="6">
        <v>2014</v>
      </c>
      <c r="C58" s="6" t="s">
        <v>40</v>
      </c>
      <c r="D58" s="3">
        <v>122.4</v>
      </c>
      <c r="E58" s="3">
        <v>123.9</v>
      </c>
      <c r="F58" s="3">
        <v>117.8</v>
      </c>
      <c r="G58" s="3">
        <v>121</v>
      </c>
      <c r="H58" s="3">
        <v>107.9</v>
      </c>
      <c r="I58" s="3">
        <v>131.19999999999999</v>
      </c>
      <c r="J58" s="3">
        <v>157.69999999999999</v>
      </c>
      <c r="K58" s="3">
        <v>113.2</v>
      </c>
      <c r="L58" s="3">
        <v>104.1</v>
      </c>
      <c r="M58" s="3">
        <v>115.5</v>
      </c>
      <c r="N58" s="3">
        <v>114.8</v>
      </c>
      <c r="O58" s="3">
        <v>122.1</v>
      </c>
      <c r="P58" s="3">
        <v>124.7</v>
      </c>
      <c r="Q58" s="3">
        <v>118.8</v>
      </c>
      <c r="R58" s="3">
        <v>119.6</v>
      </c>
      <c r="S58" s="3">
        <v>116.3</v>
      </c>
      <c r="T58" s="3">
        <v>119.1</v>
      </c>
      <c r="U58" s="3">
        <v>114.8</v>
      </c>
      <c r="V58" s="3">
        <f t="shared" si="7"/>
        <v>114.8</v>
      </c>
      <c r="W58" s="3">
        <v>113.9</v>
      </c>
      <c r="X58" s="3">
        <v>115.2</v>
      </c>
      <c r="Y58" s="3">
        <v>112.7</v>
      </c>
      <c r="Z58" s="3">
        <v>113.1</v>
      </c>
      <c r="AA58" s="3">
        <v>112.1</v>
      </c>
      <c r="AB58" s="3">
        <v>116.8</v>
      </c>
      <c r="AC58" s="3">
        <v>109.2</v>
      </c>
      <c r="AD58" s="3">
        <v>113.3</v>
      </c>
      <c r="AE58" s="3">
        <v>119.2</v>
      </c>
      <c r="AF58">
        <f t="shared" si="8"/>
        <v>1576.3</v>
      </c>
      <c r="AG58">
        <f t="shared" si="9"/>
        <v>355</v>
      </c>
      <c r="AH58">
        <f t="shared" si="10"/>
        <v>227</v>
      </c>
      <c r="AI58">
        <f t="shared" si="11"/>
        <v>346.8</v>
      </c>
      <c r="AJ58">
        <f t="shared" si="12"/>
        <v>221.9</v>
      </c>
      <c r="AK58">
        <f t="shared" si="13"/>
        <v>344.2</v>
      </c>
    </row>
    <row r="59" spans="1:37" x14ac:dyDescent="0.25">
      <c r="A59" s="6" t="s">
        <v>30</v>
      </c>
      <c r="B59" s="6">
        <v>2014</v>
      </c>
      <c r="C59" s="6" t="s">
        <v>41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v>118.8</v>
      </c>
      <c r="R59" s="3">
        <v>120.9</v>
      </c>
      <c r="S59" s="3">
        <v>118.8</v>
      </c>
      <c r="T59" s="3">
        <v>120.7</v>
      </c>
      <c r="U59" s="3" t="s">
        <v>32</v>
      </c>
      <c r="V59" s="3">
        <f t="shared" si="7"/>
        <v>115.5</v>
      </c>
      <c r="W59" s="3">
        <v>115.4</v>
      </c>
      <c r="X59" s="3">
        <v>115.9</v>
      </c>
      <c r="Y59" s="3">
        <v>114</v>
      </c>
      <c r="Z59" s="3">
        <v>113.2</v>
      </c>
      <c r="AA59" s="3">
        <v>112.2</v>
      </c>
      <c r="AB59" s="3">
        <v>116.2</v>
      </c>
      <c r="AC59" s="3">
        <v>109.4</v>
      </c>
      <c r="AD59" s="3">
        <v>113.5</v>
      </c>
      <c r="AE59" s="3">
        <v>120.7</v>
      </c>
      <c r="AF59">
        <f t="shared" si="8"/>
        <v>1582.2999999999997</v>
      </c>
      <c r="AG59">
        <f t="shared" si="9"/>
        <v>360.4</v>
      </c>
      <c r="AH59">
        <f t="shared" si="10"/>
        <v>228.60000000000002</v>
      </c>
      <c r="AI59">
        <f t="shared" si="11"/>
        <v>347.6</v>
      </c>
      <c r="AJ59">
        <f t="shared" si="12"/>
        <v>223.4</v>
      </c>
      <c r="AK59">
        <f t="shared" si="13"/>
        <v>344.5</v>
      </c>
    </row>
    <row r="60" spans="1:37" x14ac:dyDescent="0.25">
      <c r="A60" s="6" t="s">
        <v>33</v>
      </c>
      <c r="B60" s="6">
        <v>2014</v>
      </c>
      <c r="C60" s="6" t="s">
        <v>41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v>123</v>
      </c>
      <c r="R60" s="3">
        <v>118.6</v>
      </c>
      <c r="S60" s="3">
        <v>114.1</v>
      </c>
      <c r="T60" s="3">
        <v>117.9</v>
      </c>
      <c r="U60" s="3">
        <v>115.5</v>
      </c>
      <c r="V60" s="3">
        <f t="shared" si="7"/>
        <v>115.5</v>
      </c>
      <c r="W60" s="3">
        <v>111.8</v>
      </c>
      <c r="X60" s="3">
        <v>115.3</v>
      </c>
      <c r="Y60" s="3">
        <v>112.2</v>
      </c>
      <c r="Z60" s="3">
        <v>112.5</v>
      </c>
      <c r="AA60" s="3">
        <v>112.9</v>
      </c>
      <c r="AB60" s="3">
        <v>119.2</v>
      </c>
      <c r="AC60" s="3">
        <v>110.5</v>
      </c>
      <c r="AD60" s="3">
        <v>113.9</v>
      </c>
      <c r="AE60" s="3">
        <v>119.9</v>
      </c>
      <c r="AF60">
        <f t="shared" si="8"/>
        <v>1617</v>
      </c>
      <c r="AG60">
        <f t="shared" si="9"/>
        <v>350.6</v>
      </c>
      <c r="AH60">
        <f t="shared" si="10"/>
        <v>224.3</v>
      </c>
      <c r="AI60">
        <f t="shared" si="11"/>
        <v>350</v>
      </c>
      <c r="AJ60">
        <f t="shared" si="12"/>
        <v>222.7</v>
      </c>
      <c r="AK60">
        <f t="shared" si="13"/>
        <v>349.8</v>
      </c>
    </row>
    <row r="61" spans="1:37" x14ac:dyDescent="0.25">
      <c r="A61" s="6" t="s">
        <v>34</v>
      </c>
      <c r="B61" s="6">
        <v>2014</v>
      </c>
      <c r="C61" s="6" t="s">
        <v>41</v>
      </c>
      <c r="D61" s="3">
        <v>122.7</v>
      </c>
      <c r="E61" s="3">
        <v>124.4</v>
      </c>
      <c r="F61" s="3">
        <v>117.3</v>
      </c>
      <c r="G61" s="3">
        <v>122</v>
      </c>
      <c r="H61" s="3">
        <v>108</v>
      </c>
      <c r="I61" s="3">
        <v>131.1</v>
      </c>
      <c r="J61" s="3">
        <v>168.2</v>
      </c>
      <c r="K61" s="3">
        <v>114.5</v>
      </c>
      <c r="L61" s="3">
        <v>104.3</v>
      </c>
      <c r="M61" s="3">
        <v>117.1</v>
      </c>
      <c r="N61" s="3">
        <v>115.2</v>
      </c>
      <c r="O61" s="3">
        <v>123.1</v>
      </c>
      <c r="P61" s="3">
        <v>126.6</v>
      </c>
      <c r="Q61" s="3">
        <v>119.9</v>
      </c>
      <c r="R61" s="3">
        <v>120</v>
      </c>
      <c r="S61" s="3">
        <v>116.8</v>
      </c>
      <c r="T61" s="3">
        <v>119.6</v>
      </c>
      <c r="U61" s="3">
        <v>115.5</v>
      </c>
      <c r="V61" s="3">
        <f t="shared" si="7"/>
        <v>115.5</v>
      </c>
      <c r="W61" s="3">
        <v>114</v>
      </c>
      <c r="X61" s="3">
        <v>115.6</v>
      </c>
      <c r="Y61" s="3">
        <v>113.3</v>
      </c>
      <c r="Z61" s="3">
        <v>112.8</v>
      </c>
      <c r="AA61" s="3">
        <v>112.6</v>
      </c>
      <c r="AB61" s="3">
        <v>118</v>
      </c>
      <c r="AC61" s="3">
        <v>109.9</v>
      </c>
      <c r="AD61" s="3">
        <v>113.7</v>
      </c>
      <c r="AE61" s="3">
        <v>120.3</v>
      </c>
      <c r="AF61">
        <f t="shared" si="8"/>
        <v>1594.4999999999998</v>
      </c>
      <c r="AG61">
        <f t="shared" si="9"/>
        <v>356.4</v>
      </c>
      <c r="AH61">
        <f t="shared" si="10"/>
        <v>226.8</v>
      </c>
      <c r="AI61">
        <f t="shared" si="11"/>
        <v>349.1</v>
      </c>
      <c r="AJ61">
        <f t="shared" si="12"/>
        <v>223.2</v>
      </c>
      <c r="AK61">
        <f t="shared" si="13"/>
        <v>346.2</v>
      </c>
    </row>
    <row r="62" spans="1:37" x14ac:dyDescent="0.25">
      <c r="A62" s="6" t="s">
        <v>30</v>
      </c>
      <c r="B62" s="6">
        <v>2014</v>
      </c>
      <c r="C62" s="6" t="s">
        <v>42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v>119.5</v>
      </c>
      <c r="R62" s="3">
        <v>121.7</v>
      </c>
      <c r="S62" s="3">
        <v>119.2</v>
      </c>
      <c r="T62" s="3">
        <v>121.3</v>
      </c>
      <c r="U62" s="3" t="s">
        <v>32</v>
      </c>
      <c r="V62" s="3">
        <f t="shared" si="7"/>
        <v>116.1</v>
      </c>
      <c r="W62" s="3">
        <v>115.8</v>
      </c>
      <c r="X62" s="3">
        <v>116.7</v>
      </c>
      <c r="Y62" s="3">
        <v>114.5</v>
      </c>
      <c r="Z62" s="3">
        <v>112.8</v>
      </c>
      <c r="AA62" s="3">
        <v>112.6</v>
      </c>
      <c r="AB62" s="3">
        <v>116.6</v>
      </c>
      <c r="AC62" s="3">
        <v>109.1</v>
      </c>
      <c r="AD62" s="3">
        <v>113.7</v>
      </c>
      <c r="AE62" s="3">
        <v>120.9</v>
      </c>
      <c r="AF62">
        <f t="shared" si="8"/>
        <v>1583.2</v>
      </c>
      <c r="AG62">
        <f t="shared" si="9"/>
        <v>362.2</v>
      </c>
      <c r="AH62">
        <f t="shared" si="10"/>
        <v>228.6</v>
      </c>
      <c r="AI62">
        <f t="shared" si="11"/>
        <v>349.4</v>
      </c>
      <c r="AJ62">
        <f t="shared" si="12"/>
        <v>223.6</v>
      </c>
      <c r="AK62">
        <f t="shared" si="13"/>
        <v>345.8</v>
      </c>
    </row>
    <row r="63" spans="1:37" x14ac:dyDescent="0.25">
      <c r="A63" s="6" t="s">
        <v>33</v>
      </c>
      <c r="B63" s="6">
        <v>2014</v>
      </c>
      <c r="C63" s="6" t="s">
        <v>42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v>124.3</v>
      </c>
      <c r="R63" s="3">
        <v>119.2</v>
      </c>
      <c r="S63" s="3">
        <v>114.5</v>
      </c>
      <c r="T63" s="3">
        <v>118.4</v>
      </c>
      <c r="U63" s="3">
        <v>116.1</v>
      </c>
      <c r="V63" s="3">
        <f t="shared" si="7"/>
        <v>116.1</v>
      </c>
      <c r="W63" s="3">
        <v>111.8</v>
      </c>
      <c r="X63" s="3">
        <v>115.5</v>
      </c>
      <c r="Y63" s="3">
        <v>112.3</v>
      </c>
      <c r="Z63" s="3">
        <v>111.2</v>
      </c>
      <c r="AA63" s="3">
        <v>113.4</v>
      </c>
      <c r="AB63" s="3">
        <v>120</v>
      </c>
      <c r="AC63" s="3">
        <v>110</v>
      </c>
      <c r="AD63" s="3">
        <v>113.6</v>
      </c>
      <c r="AE63" s="3">
        <v>119.2</v>
      </c>
      <c r="AF63">
        <f t="shared" si="8"/>
        <v>1593.7000000000003</v>
      </c>
      <c r="AG63">
        <f t="shared" si="9"/>
        <v>352.1</v>
      </c>
      <c r="AH63">
        <f t="shared" si="10"/>
        <v>223</v>
      </c>
      <c r="AI63">
        <f t="shared" si="11"/>
        <v>351.6</v>
      </c>
      <c r="AJ63">
        <f t="shared" si="12"/>
        <v>222.3</v>
      </c>
      <c r="AK63">
        <f t="shared" si="13"/>
        <v>351.29999999999995</v>
      </c>
    </row>
    <row r="64" spans="1:37" x14ac:dyDescent="0.25">
      <c r="A64" s="6" t="s">
        <v>34</v>
      </c>
      <c r="B64" s="6">
        <v>2014</v>
      </c>
      <c r="C64" s="6" t="s">
        <v>42</v>
      </c>
      <c r="D64" s="3">
        <v>122.9</v>
      </c>
      <c r="E64" s="3">
        <v>123.5</v>
      </c>
      <c r="F64" s="3">
        <v>117.3</v>
      </c>
      <c r="G64" s="3">
        <v>122.7</v>
      </c>
      <c r="H64" s="3">
        <v>107.9</v>
      </c>
      <c r="I64" s="3">
        <v>127.3</v>
      </c>
      <c r="J64" s="3">
        <v>162.1</v>
      </c>
      <c r="K64" s="3">
        <v>115.6</v>
      </c>
      <c r="L64" s="3">
        <v>103.8</v>
      </c>
      <c r="M64" s="3">
        <v>117.6</v>
      </c>
      <c r="N64" s="3">
        <v>115.8</v>
      </c>
      <c r="O64" s="3">
        <v>123.8</v>
      </c>
      <c r="P64" s="3">
        <v>125.8</v>
      </c>
      <c r="Q64" s="3">
        <v>120.8</v>
      </c>
      <c r="R64" s="3">
        <v>120.7</v>
      </c>
      <c r="S64" s="3">
        <v>117.2</v>
      </c>
      <c r="T64" s="3">
        <v>120.1</v>
      </c>
      <c r="U64" s="3">
        <v>116.1</v>
      </c>
      <c r="V64" s="3">
        <f t="shared" si="7"/>
        <v>116.1</v>
      </c>
      <c r="W64" s="3">
        <v>114.3</v>
      </c>
      <c r="X64" s="3">
        <v>116.1</v>
      </c>
      <c r="Y64" s="3">
        <v>113.7</v>
      </c>
      <c r="Z64" s="3">
        <v>112</v>
      </c>
      <c r="AA64" s="3">
        <v>113.1</v>
      </c>
      <c r="AB64" s="3">
        <v>118.6</v>
      </c>
      <c r="AC64" s="3">
        <v>109.5</v>
      </c>
      <c r="AD64" s="3">
        <v>113.7</v>
      </c>
      <c r="AE64" s="3">
        <v>120.1</v>
      </c>
      <c r="AF64">
        <f t="shared" si="8"/>
        <v>1586.0999999999997</v>
      </c>
      <c r="AG64">
        <f t="shared" si="9"/>
        <v>358</v>
      </c>
      <c r="AH64">
        <f t="shared" si="10"/>
        <v>226.3</v>
      </c>
      <c r="AI64">
        <f t="shared" si="11"/>
        <v>350.79999999999995</v>
      </c>
      <c r="AJ64">
        <f t="shared" si="12"/>
        <v>223.2</v>
      </c>
      <c r="AK64">
        <f t="shared" si="13"/>
        <v>347.59999999999997</v>
      </c>
    </row>
    <row r="65" spans="1:37" x14ac:dyDescent="0.25">
      <c r="A65" s="6" t="s">
        <v>30</v>
      </c>
      <c r="B65" s="6">
        <v>2014</v>
      </c>
      <c r="C65" s="6" t="s">
        <v>43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v>120</v>
      </c>
      <c r="R65" s="3">
        <v>122.7</v>
      </c>
      <c r="S65" s="3">
        <v>120.3</v>
      </c>
      <c r="T65" s="3">
        <v>122.3</v>
      </c>
      <c r="U65" s="3" t="s">
        <v>32</v>
      </c>
      <c r="V65" s="3">
        <f t="shared" si="7"/>
        <v>116.7</v>
      </c>
      <c r="W65" s="3">
        <v>116.4</v>
      </c>
      <c r="X65" s="3">
        <v>117.5</v>
      </c>
      <c r="Y65" s="3">
        <v>115.3</v>
      </c>
      <c r="Z65" s="3">
        <v>112.6</v>
      </c>
      <c r="AA65" s="3">
        <v>113</v>
      </c>
      <c r="AB65" s="3">
        <v>116.9</v>
      </c>
      <c r="AC65" s="3">
        <v>109.3</v>
      </c>
      <c r="AD65" s="3">
        <v>114</v>
      </c>
      <c r="AE65" s="3">
        <v>121</v>
      </c>
      <c r="AF65">
        <f t="shared" si="8"/>
        <v>1581.1999999999998</v>
      </c>
      <c r="AG65">
        <f t="shared" si="9"/>
        <v>365.3</v>
      </c>
      <c r="AH65">
        <f t="shared" si="10"/>
        <v>229</v>
      </c>
      <c r="AI65">
        <f t="shared" si="11"/>
        <v>351.1</v>
      </c>
      <c r="AJ65">
        <f t="shared" si="12"/>
        <v>224.6</v>
      </c>
      <c r="AK65">
        <f t="shared" si="13"/>
        <v>347</v>
      </c>
    </row>
    <row r="66" spans="1:37" x14ac:dyDescent="0.25">
      <c r="A66" s="6" t="s">
        <v>33</v>
      </c>
      <c r="B66" s="6">
        <v>2014</v>
      </c>
      <c r="C66" s="6" t="s">
        <v>43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v>124.3</v>
      </c>
      <c r="R66" s="3">
        <v>119.6</v>
      </c>
      <c r="S66" s="3">
        <v>114.9</v>
      </c>
      <c r="T66" s="3">
        <v>118.9</v>
      </c>
      <c r="U66" s="3">
        <v>116.7</v>
      </c>
      <c r="V66" s="3">
        <f t="shared" ref="V66:V129" si="14">IF(U66="NA",AVERAGE(U67,U68),U66)</f>
        <v>116.7</v>
      </c>
      <c r="W66" s="3">
        <v>112</v>
      </c>
      <c r="X66" s="3">
        <v>115.8</v>
      </c>
      <c r="Y66" s="3">
        <v>112.6</v>
      </c>
      <c r="Z66" s="3">
        <v>111</v>
      </c>
      <c r="AA66" s="3">
        <v>113.6</v>
      </c>
      <c r="AB66" s="3">
        <v>120.2</v>
      </c>
      <c r="AC66" s="3">
        <v>110.1</v>
      </c>
      <c r="AD66" s="3">
        <v>113.7</v>
      </c>
      <c r="AE66" s="3">
        <v>119.1</v>
      </c>
      <c r="AF66">
        <f t="shared" si="8"/>
        <v>1587.5</v>
      </c>
      <c r="AG66">
        <f t="shared" si="9"/>
        <v>353.4</v>
      </c>
      <c r="AH66">
        <f t="shared" si="10"/>
        <v>223</v>
      </c>
      <c r="AI66">
        <f t="shared" si="11"/>
        <v>352.7</v>
      </c>
      <c r="AJ66">
        <f t="shared" si="12"/>
        <v>222.7</v>
      </c>
      <c r="AK66">
        <f t="shared" si="13"/>
        <v>351.59999999999997</v>
      </c>
    </row>
    <row r="67" spans="1:37" x14ac:dyDescent="0.25">
      <c r="A67" s="6" t="s">
        <v>34</v>
      </c>
      <c r="B67" s="6">
        <v>2014</v>
      </c>
      <c r="C67" s="6" t="s">
        <v>43</v>
      </c>
      <c r="D67" s="3">
        <v>123.2</v>
      </c>
      <c r="E67" s="3">
        <v>123.8</v>
      </c>
      <c r="F67" s="3">
        <v>118.1</v>
      </c>
      <c r="G67" s="3">
        <v>123.2</v>
      </c>
      <c r="H67" s="3">
        <v>107.9</v>
      </c>
      <c r="I67" s="3">
        <v>126.4</v>
      </c>
      <c r="J67" s="3">
        <v>156.80000000000001</v>
      </c>
      <c r="K67" s="3">
        <v>116.1</v>
      </c>
      <c r="L67" s="3">
        <v>103.1</v>
      </c>
      <c r="M67" s="3">
        <v>118.1</v>
      </c>
      <c r="N67" s="3">
        <v>116.1</v>
      </c>
      <c r="O67" s="3">
        <v>124.5</v>
      </c>
      <c r="P67" s="3">
        <v>125.4</v>
      </c>
      <c r="Q67" s="3">
        <v>121.1</v>
      </c>
      <c r="R67" s="3">
        <v>121.5</v>
      </c>
      <c r="S67" s="3">
        <v>118.1</v>
      </c>
      <c r="T67" s="3">
        <v>121</v>
      </c>
      <c r="U67" s="3">
        <v>116.7</v>
      </c>
      <c r="V67" s="3">
        <f t="shared" si="14"/>
        <v>116.7</v>
      </c>
      <c r="W67" s="3">
        <v>114.7</v>
      </c>
      <c r="X67" s="3">
        <v>116.7</v>
      </c>
      <c r="Y67" s="3">
        <v>114.3</v>
      </c>
      <c r="Z67" s="3">
        <v>111.8</v>
      </c>
      <c r="AA67" s="3">
        <v>113.3</v>
      </c>
      <c r="AB67" s="3">
        <v>118.8</v>
      </c>
      <c r="AC67" s="3">
        <v>109.6</v>
      </c>
      <c r="AD67" s="3">
        <v>113.9</v>
      </c>
      <c r="AE67" s="3">
        <v>120.1</v>
      </c>
      <c r="AF67">
        <f t="shared" ref="AF67:AF130" si="15">SUM(D67,E67,F67,G67,H67,I67,J67,K67,L67,M67,N67,O67,P67)</f>
        <v>1582.7</v>
      </c>
      <c r="AG67">
        <f t="shared" ref="AG67:AG130" si="16">SUM(R67,S67,T67)</f>
        <v>360.6</v>
      </c>
      <c r="AH67">
        <f t="shared" ref="AH67:AH130" si="17">SUM(W67,Z67)</f>
        <v>226.5</v>
      </c>
      <c r="AI67">
        <f t="shared" ref="AI67:AI130" si="18">SUM(V67,X67,AB67)</f>
        <v>352.2</v>
      </c>
      <c r="AJ67">
        <f t="shared" ref="AJ67:AJ130" si="19">SUM(Y67,AC67)</f>
        <v>223.89999999999998</v>
      </c>
      <c r="AK67">
        <f t="shared" ref="AK67:AK130" si="20">SUM(Q67,AA67,AD67)</f>
        <v>348.29999999999995</v>
      </c>
    </row>
    <row r="68" spans="1:37" x14ac:dyDescent="0.25">
      <c r="A68" s="6" t="s">
        <v>30</v>
      </c>
      <c r="B68" s="6">
        <v>2014</v>
      </c>
      <c r="C68" s="6" t="s">
        <v>45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v>120.8</v>
      </c>
      <c r="R68" s="3">
        <v>123.3</v>
      </c>
      <c r="S68" s="3">
        <v>120.5</v>
      </c>
      <c r="T68" s="3">
        <v>122.9</v>
      </c>
      <c r="U68" s="3" t="s">
        <v>32</v>
      </c>
      <c r="V68" s="3">
        <f t="shared" si="14"/>
        <v>117.1</v>
      </c>
      <c r="W68" s="3">
        <v>117.3</v>
      </c>
      <c r="X68" s="3">
        <v>118.1</v>
      </c>
      <c r="Y68" s="3">
        <v>115.9</v>
      </c>
      <c r="Z68" s="3">
        <v>112</v>
      </c>
      <c r="AA68" s="3">
        <v>113.3</v>
      </c>
      <c r="AB68" s="3">
        <v>117.2</v>
      </c>
      <c r="AC68" s="3">
        <v>108.8</v>
      </c>
      <c r="AD68" s="3">
        <v>114.1</v>
      </c>
      <c r="AE68" s="3">
        <v>121.1</v>
      </c>
      <c r="AF68">
        <f t="shared" si="15"/>
        <v>1582</v>
      </c>
      <c r="AG68">
        <f t="shared" si="16"/>
        <v>366.70000000000005</v>
      </c>
      <c r="AH68">
        <f t="shared" si="17"/>
        <v>229.3</v>
      </c>
      <c r="AI68">
        <f t="shared" si="18"/>
        <v>352.4</v>
      </c>
      <c r="AJ68">
        <f t="shared" si="19"/>
        <v>224.7</v>
      </c>
      <c r="AK68">
        <f t="shared" si="20"/>
        <v>348.2</v>
      </c>
    </row>
    <row r="69" spans="1:37" x14ac:dyDescent="0.25">
      <c r="A69" s="6" t="s">
        <v>33</v>
      </c>
      <c r="B69" s="6">
        <v>2014</v>
      </c>
      <c r="C69" s="6" t="s">
        <v>45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v>125.8</v>
      </c>
      <c r="R69" s="3">
        <v>120.3</v>
      </c>
      <c r="S69" s="3">
        <v>115.4</v>
      </c>
      <c r="T69" s="3">
        <v>119.5</v>
      </c>
      <c r="U69" s="3">
        <v>117.1</v>
      </c>
      <c r="V69" s="3">
        <f t="shared" si="14"/>
        <v>117.1</v>
      </c>
      <c r="W69" s="3">
        <v>112.6</v>
      </c>
      <c r="X69" s="3">
        <v>116.4</v>
      </c>
      <c r="Y69" s="3">
        <v>113</v>
      </c>
      <c r="Z69" s="3">
        <v>109.7</v>
      </c>
      <c r="AA69" s="3">
        <v>114</v>
      </c>
      <c r="AB69" s="3">
        <v>120.3</v>
      </c>
      <c r="AC69" s="3">
        <v>109.6</v>
      </c>
      <c r="AD69" s="3">
        <v>113.4</v>
      </c>
      <c r="AE69" s="3">
        <v>119</v>
      </c>
      <c r="AF69">
        <f t="shared" si="15"/>
        <v>1587.8</v>
      </c>
      <c r="AG69">
        <f t="shared" si="16"/>
        <v>355.2</v>
      </c>
      <c r="AH69">
        <f t="shared" si="17"/>
        <v>222.3</v>
      </c>
      <c r="AI69">
        <f t="shared" si="18"/>
        <v>353.8</v>
      </c>
      <c r="AJ69">
        <f t="shared" si="19"/>
        <v>222.6</v>
      </c>
      <c r="AK69">
        <f t="shared" si="20"/>
        <v>353.20000000000005</v>
      </c>
    </row>
    <row r="70" spans="1:37" x14ac:dyDescent="0.25">
      <c r="A70" s="6" t="s">
        <v>34</v>
      </c>
      <c r="B70" s="6">
        <v>2014</v>
      </c>
      <c r="C70" s="6" t="s">
        <v>45</v>
      </c>
      <c r="D70" s="3">
        <v>123.3</v>
      </c>
      <c r="E70" s="3">
        <v>123.7</v>
      </c>
      <c r="F70" s="3">
        <v>121</v>
      </c>
      <c r="G70" s="3">
        <v>124.2</v>
      </c>
      <c r="H70" s="3">
        <v>107.8</v>
      </c>
      <c r="I70" s="3">
        <v>125.7</v>
      </c>
      <c r="J70" s="3">
        <v>152.4</v>
      </c>
      <c r="K70" s="3">
        <v>117.2</v>
      </c>
      <c r="L70" s="3">
        <v>102.1</v>
      </c>
      <c r="M70" s="3">
        <v>118.7</v>
      </c>
      <c r="N70" s="3">
        <v>116.4</v>
      </c>
      <c r="O70" s="3">
        <v>125.6</v>
      </c>
      <c r="P70" s="3">
        <v>125.1</v>
      </c>
      <c r="Q70" s="3">
        <v>122.1</v>
      </c>
      <c r="R70" s="3">
        <v>122.1</v>
      </c>
      <c r="S70" s="3">
        <v>118.4</v>
      </c>
      <c r="T70" s="3">
        <v>121.6</v>
      </c>
      <c r="U70" s="3">
        <v>117.1</v>
      </c>
      <c r="V70" s="3">
        <f t="shared" si="14"/>
        <v>117.1</v>
      </c>
      <c r="W70" s="3">
        <v>115.5</v>
      </c>
      <c r="X70" s="3">
        <v>117.3</v>
      </c>
      <c r="Y70" s="3">
        <v>114.8</v>
      </c>
      <c r="Z70" s="3">
        <v>110.8</v>
      </c>
      <c r="AA70" s="3">
        <v>113.7</v>
      </c>
      <c r="AB70" s="3">
        <v>119</v>
      </c>
      <c r="AC70" s="3">
        <v>109.1</v>
      </c>
      <c r="AD70" s="3">
        <v>113.8</v>
      </c>
      <c r="AE70" s="3">
        <v>120.1</v>
      </c>
      <c r="AF70">
        <f t="shared" si="15"/>
        <v>1583.2</v>
      </c>
      <c r="AG70">
        <f t="shared" si="16"/>
        <v>362.1</v>
      </c>
      <c r="AH70">
        <f t="shared" si="17"/>
        <v>226.3</v>
      </c>
      <c r="AI70">
        <f t="shared" si="18"/>
        <v>353.4</v>
      </c>
      <c r="AJ70">
        <f t="shared" si="19"/>
        <v>223.89999999999998</v>
      </c>
      <c r="AK70">
        <f t="shared" si="20"/>
        <v>349.6</v>
      </c>
    </row>
    <row r="71" spans="1:37" x14ac:dyDescent="0.25">
      <c r="A71" s="6" t="s">
        <v>30</v>
      </c>
      <c r="B71" s="6">
        <v>2014</v>
      </c>
      <c r="C71" s="6" t="s">
        <v>46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v>121.7</v>
      </c>
      <c r="R71" s="3">
        <v>123.8</v>
      </c>
      <c r="S71" s="3">
        <v>120.6</v>
      </c>
      <c r="T71" s="3">
        <v>123.3</v>
      </c>
      <c r="U71" s="3" t="s">
        <v>32</v>
      </c>
      <c r="V71" s="3">
        <f t="shared" si="14"/>
        <v>116.5</v>
      </c>
      <c r="W71" s="3">
        <v>117.4</v>
      </c>
      <c r="X71" s="3">
        <v>118.2</v>
      </c>
      <c r="Y71" s="3">
        <v>116.2</v>
      </c>
      <c r="Z71" s="3">
        <v>111.5</v>
      </c>
      <c r="AA71" s="3">
        <v>113.3</v>
      </c>
      <c r="AB71" s="3">
        <v>117.7</v>
      </c>
      <c r="AC71" s="3">
        <v>109.4</v>
      </c>
      <c r="AD71" s="3">
        <v>114.2</v>
      </c>
      <c r="AE71" s="3">
        <v>120.3</v>
      </c>
      <c r="AF71">
        <f t="shared" si="15"/>
        <v>1569.6</v>
      </c>
      <c r="AG71">
        <f t="shared" si="16"/>
        <v>367.7</v>
      </c>
      <c r="AH71">
        <f t="shared" si="17"/>
        <v>228.9</v>
      </c>
      <c r="AI71">
        <f t="shared" si="18"/>
        <v>352.4</v>
      </c>
      <c r="AJ71">
        <f t="shared" si="19"/>
        <v>225.60000000000002</v>
      </c>
      <c r="AK71">
        <f t="shared" si="20"/>
        <v>349.2</v>
      </c>
    </row>
    <row r="72" spans="1:37" x14ac:dyDescent="0.25">
      <c r="A72" s="6" t="s">
        <v>33</v>
      </c>
      <c r="B72" s="6">
        <v>2014</v>
      </c>
      <c r="C72" s="6" t="s">
        <v>46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v>126.4</v>
      </c>
      <c r="R72" s="3">
        <v>120.7</v>
      </c>
      <c r="S72" s="3">
        <v>115.8</v>
      </c>
      <c r="T72" s="3">
        <v>120</v>
      </c>
      <c r="U72" s="3">
        <v>116.5</v>
      </c>
      <c r="V72" s="3">
        <f t="shared" si="14"/>
        <v>116.5</v>
      </c>
      <c r="W72" s="3">
        <v>113</v>
      </c>
      <c r="X72" s="3">
        <v>116.8</v>
      </c>
      <c r="Y72" s="3">
        <v>113.2</v>
      </c>
      <c r="Z72" s="3">
        <v>108.8</v>
      </c>
      <c r="AA72" s="3">
        <v>114.3</v>
      </c>
      <c r="AB72" s="3">
        <v>120.7</v>
      </c>
      <c r="AC72" s="3">
        <v>110.4</v>
      </c>
      <c r="AD72" s="3">
        <v>113.4</v>
      </c>
      <c r="AE72" s="3">
        <v>118.4</v>
      </c>
      <c r="AF72">
        <f t="shared" si="15"/>
        <v>1577.1999999999998</v>
      </c>
      <c r="AG72">
        <f t="shared" si="16"/>
        <v>356.5</v>
      </c>
      <c r="AH72">
        <f t="shared" si="17"/>
        <v>221.8</v>
      </c>
      <c r="AI72">
        <f t="shared" si="18"/>
        <v>354</v>
      </c>
      <c r="AJ72">
        <f t="shared" si="19"/>
        <v>223.60000000000002</v>
      </c>
      <c r="AK72">
        <f t="shared" si="20"/>
        <v>354.1</v>
      </c>
    </row>
    <row r="73" spans="1:37" x14ac:dyDescent="0.25">
      <c r="A73" s="6" t="s">
        <v>34</v>
      </c>
      <c r="B73" s="6">
        <v>2014</v>
      </c>
      <c r="C73" s="6" t="s">
        <v>46</v>
      </c>
      <c r="D73" s="3">
        <v>122.9</v>
      </c>
      <c r="E73" s="3">
        <v>123.2</v>
      </c>
      <c r="F73" s="3">
        <v>123.5</v>
      </c>
      <c r="G73" s="3">
        <v>124.5</v>
      </c>
      <c r="H73" s="3">
        <v>107.6</v>
      </c>
      <c r="I73" s="3">
        <v>125.7</v>
      </c>
      <c r="J73" s="3">
        <v>140.5</v>
      </c>
      <c r="K73" s="3">
        <v>117.6</v>
      </c>
      <c r="L73" s="3">
        <v>100.6</v>
      </c>
      <c r="M73" s="3">
        <v>119.1</v>
      </c>
      <c r="N73" s="3">
        <v>116.8</v>
      </c>
      <c r="O73" s="3">
        <v>126.1</v>
      </c>
      <c r="P73" s="3">
        <v>123.6</v>
      </c>
      <c r="Q73" s="3">
        <v>123</v>
      </c>
      <c r="R73" s="3">
        <v>122.6</v>
      </c>
      <c r="S73" s="3">
        <v>118.6</v>
      </c>
      <c r="T73" s="3">
        <v>122</v>
      </c>
      <c r="U73" s="3">
        <v>116.5</v>
      </c>
      <c r="V73" s="3">
        <f t="shared" si="14"/>
        <v>116.5</v>
      </c>
      <c r="W73" s="3">
        <v>115.7</v>
      </c>
      <c r="X73" s="3">
        <v>117.5</v>
      </c>
      <c r="Y73" s="3">
        <v>115.1</v>
      </c>
      <c r="Z73" s="3">
        <v>110.1</v>
      </c>
      <c r="AA73" s="3">
        <v>113.9</v>
      </c>
      <c r="AB73" s="3">
        <v>119.5</v>
      </c>
      <c r="AC73" s="3">
        <v>109.8</v>
      </c>
      <c r="AD73" s="3">
        <v>113.8</v>
      </c>
      <c r="AE73" s="3">
        <v>119.4</v>
      </c>
      <c r="AF73">
        <f t="shared" si="15"/>
        <v>1571.6999999999998</v>
      </c>
      <c r="AG73">
        <f t="shared" si="16"/>
        <v>363.2</v>
      </c>
      <c r="AH73">
        <f t="shared" si="17"/>
        <v>225.8</v>
      </c>
      <c r="AI73">
        <f t="shared" si="18"/>
        <v>353.5</v>
      </c>
      <c r="AJ73">
        <f t="shared" si="19"/>
        <v>224.89999999999998</v>
      </c>
      <c r="AK73">
        <f t="shared" si="20"/>
        <v>350.7</v>
      </c>
    </row>
    <row r="74" spans="1:37" x14ac:dyDescent="0.25">
      <c r="A74" s="6" t="s">
        <v>30</v>
      </c>
      <c r="B74" s="6">
        <v>2015</v>
      </c>
      <c r="C74" s="6" t="s">
        <v>31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v>122.7</v>
      </c>
      <c r="R74" s="3">
        <v>124.4</v>
      </c>
      <c r="S74" s="3">
        <v>121.6</v>
      </c>
      <c r="T74" s="3">
        <v>124</v>
      </c>
      <c r="U74" s="3" t="s">
        <v>32</v>
      </c>
      <c r="V74" s="3">
        <f t="shared" si="14"/>
        <v>117.3</v>
      </c>
      <c r="W74" s="3">
        <v>118.4</v>
      </c>
      <c r="X74" s="3">
        <v>118.9</v>
      </c>
      <c r="Y74" s="3">
        <v>116.6</v>
      </c>
      <c r="Z74" s="3">
        <v>111</v>
      </c>
      <c r="AA74" s="3">
        <v>114</v>
      </c>
      <c r="AB74" s="3">
        <v>118.2</v>
      </c>
      <c r="AC74" s="3">
        <v>110.2</v>
      </c>
      <c r="AD74" s="3">
        <v>114.5</v>
      </c>
      <c r="AE74" s="3">
        <v>120.3</v>
      </c>
      <c r="AF74">
        <f t="shared" si="15"/>
        <v>1568.1</v>
      </c>
      <c r="AG74">
        <f t="shared" si="16"/>
        <v>370</v>
      </c>
      <c r="AH74">
        <f t="shared" si="17"/>
        <v>229.4</v>
      </c>
      <c r="AI74">
        <f t="shared" si="18"/>
        <v>354.4</v>
      </c>
      <c r="AJ74">
        <f t="shared" si="19"/>
        <v>226.8</v>
      </c>
      <c r="AK74">
        <f t="shared" si="20"/>
        <v>351.2</v>
      </c>
    </row>
    <row r="75" spans="1:37" x14ac:dyDescent="0.25">
      <c r="A75" s="6" t="s">
        <v>33</v>
      </c>
      <c r="B75" s="6">
        <v>2015</v>
      </c>
      <c r="C75" s="6" t="s">
        <v>31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v>127.4</v>
      </c>
      <c r="R75" s="3">
        <v>121</v>
      </c>
      <c r="S75" s="3">
        <v>116.1</v>
      </c>
      <c r="T75" s="3">
        <v>120.2</v>
      </c>
      <c r="U75" s="3">
        <v>117.3</v>
      </c>
      <c r="V75" s="3">
        <f t="shared" si="14"/>
        <v>117.3</v>
      </c>
      <c r="W75" s="3">
        <v>113.4</v>
      </c>
      <c r="X75" s="3">
        <v>117.2</v>
      </c>
      <c r="Y75" s="3">
        <v>113.7</v>
      </c>
      <c r="Z75" s="3">
        <v>107.9</v>
      </c>
      <c r="AA75" s="3">
        <v>114.6</v>
      </c>
      <c r="AB75" s="3">
        <v>120.8</v>
      </c>
      <c r="AC75" s="3">
        <v>111.4</v>
      </c>
      <c r="AD75" s="3">
        <v>113.4</v>
      </c>
      <c r="AE75" s="3">
        <v>118.5</v>
      </c>
      <c r="AF75">
        <f t="shared" si="15"/>
        <v>1574.8999999999999</v>
      </c>
      <c r="AG75">
        <f t="shared" si="16"/>
        <v>357.3</v>
      </c>
      <c r="AH75">
        <f t="shared" si="17"/>
        <v>221.3</v>
      </c>
      <c r="AI75">
        <f t="shared" si="18"/>
        <v>355.3</v>
      </c>
      <c r="AJ75">
        <f t="shared" si="19"/>
        <v>225.10000000000002</v>
      </c>
      <c r="AK75">
        <f t="shared" si="20"/>
        <v>355.4</v>
      </c>
    </row>
    <row r="76" spans="1:37" x14ac:dyDescent="0.25">
      <c r="A76" s="6" t="s">
        <v>34</v>
      </c>
      <c r="B76" s="6">
        <v>2015</v>
      </c>
      <c r="C76" s="6" t="s">
        <v>31</v>
      </c>
      <c r="D76" s="3">
        <v>123.4</v>
      </c>
      <c r="E76" s="3">
        <v>123.9</v>
      </c>
      <c r="F76" s="3">
        <v>123.8</v>
      </c>
      <c r="G76" s="3">
        <v>125</v>
      </c>
      <c r="H76" s="3">
        <v>108.5</v>
      </c>
      <c r="I76" s="3">
        <v>126.2</v>
      </c>
      <c r="J76" s="3">
        <v>133</v>
      </c>
      <c r="K76" s="3">
        <v>119.1</v>
      </c>
      <c r="L76" s="3">
        <v>99</v>
      </c>
      <c r="M76" s="3">
        <v>120.3</v>
      </c>
      <c r="N76" s="3">
        <v>117.3</v>
      </c>
      <c r="O76" s="3">
        <v>126.7</v>
      </c>
      <c r="P76" s="3">
        <v>123.1</v>
      </c>
      <c r="Q76" s="3">
        <v>124</v>
      </c>
      <c r="R76" s="3">
        <v>123.1</v>
      </c>
      <c r="S76" s="3">
        <v>119.3</v>
      </c>
      <c r="T76" s="3">
        <v>122.5</v>
      </c>
      <c r="U76" s="3">
        <v>117.3</v>
      </c>
      <c r="V76" s="3">
        <f t="shared" si="14"/>
        <v>117.3</v>
      </c>
      <c r="W76" s="3">
        <v>116.5</v>
      </c>
      <c r="X76" s="3">
        <v>118.1</v>
      </c>
      <c r="Y76" s="3">
        <v>115.5</v>
      </c>
      <c r="Z76" s="3">
        <v>109.4</v>
      </c>
      <c r="AA76" s="3">
        <v>114.3</v>
      </c>
      <c r="AB76" s="3">
        <v>119.7</v>
      </c>
      <c r="AC76" s="3">
        <v>110.7</v>
      </c>
      <c r="AD76" s="3">
        <v>114</v>
      </c>
      <c r="AE76" s="3">
        <v>119.5</v>
      </c>
      <c r="AF76">
        <f t="shared" si="15"/>
        <v>1569.3</v>
      </c>
      <c r="AG76">
        <f t="shared" si="16"/>
        <v>364.9</v>
      </c>
      <c r="AH76">
        <f t="shared" si="17"/>
        <v>225.9</v>
      </c>
      <c r="AI76">
        <f t="shared" si="18"/>
        <v>355.09999999999997</v>
      </c>
      <c r="AJ76">
        <f t="shared" si="19"/>
        <v>226.2</v>
      </c>
      <c r="AK76">
        <f t="shared" si="20"/>
        <v>352.3</v>
      </c>
    </row>
    <row r="77" spans="1:37" x14ac:dyDescent="0.25">
      <c r="A77" s="6" t="s">
        <v>30</v>
      </c>
      <c r="B77" s="6">
        <v>2015</v>
      </c>
      <c r="C77" s="6" t="s">
        <v>35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v>124.2</v>
      </c>
      <c r="R77" s="3">
        <v>125.4</v>
      </c>
      <c r="S77" s="3">
        <v>122.7</v>
      </c>
      <c r="T77" s="3">
        <v>125</v>
      </c>
      <c r="U77" s="3" t="s">
        <v>32</v>
      </c>
      <c r="V77" s="3">
        <f t="shared" si="14"/>
        <v>118.1</v>
      </c>
      <c r="W77" s="3">
        <v>120</v>
      </c>
      <c r="X77" s="3">
        <v>119.6</v>
      </c>
      <c r="Y77" s="3">
        <v>117.7</v>
      </c>
      <c r="Z77" s="3">
        <v>110.9</v>
      </c>
      <c r="AA77" s="3">
        <v>114.8</v>
      </c>
      <c r="AB77" s="3">
        <v>118.7</v>
      </c>
      <c r="AC77" s="3">
        <v>110.8</v>
      </c>
      <c r="AD77" s="3">
        <v>115</v>
      </c>
      <c r="AE77" s="3">
        <v>120.6</v>
      </c>
      <c r="AF77">
        <f t="shared" si="15"/>
        <v>1570.5999999999997</v>
      </c>
      <c r="AG77">
        <f t="shared" si="16"/>
        <v>373.1</v>
      </c>
      <c r="AH77">
        <f t="shared" si="17"/>
        <v>230.9</v>
      </c>
      <c r="AI77">
        <f t="shared" si="18"/>
        <v>356.4</v>
      </c>
      <c r="AJ77">
        <f t="shared" si="19"/>
        <v>228.5</v>
      </c>
      <c r="AK77">
        <f t="shared" si="20"/>
        <v>354</v>
      </c>
    </row>
    <row r="78" spans="1:37" x14ac:dyDescent="0.25">
      <c r="A78" s="6" t="s">
        <v>33</v>
      </c>
      <c r="B78" s="6">
        <v>2015</v>
      </c>
      <c r="C78" s="6" t="s">
        <v>35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v>128.1</v>
      </c>
      <c r="R78" s="3">
        <v>121.3</v>
      </c>
      <c r="S78" s="3">
        <v>116.5</v>
      </c>
      <c r="T78" s="3">
        <v>120.6</v>
      </c>
      <c r="U78" s="3">
        <v>118.1</v>
      </c>
      <c r="V78" s="3">
        <f t="shared" si="14"/>
        <v>118.1</v>
      </c>
      <c r="W78" s="3">
        <v>114</v>
      </c>
      <c r="X78" s="3">
        <v>117.7</v>
      </c>
      <c r="Y78" s="3">
        <v>114.1</v>
      </c>
      <c r="Z78" s="3">
        <v>106.8</v>
      </c>
      <c r="AA78" s="3">
        <v>114.9</v>
      </c>
      <c r="AB78" s="3">
        <v>120.4</v>
      </c>
      <c r="AC78" s="3">
        <v>111.7</v>
      </c>
      <c r="AD78" s="3">
        <v>113.2</v>
      </c>
      <c r="AE78" s="3">
        <v>118.7</v>
      </c>
      <c r="AF78">
        <f t="shared" si="15"/>
        <v>1571.1000000000001</v>
      </c>
      <c r="AG78">
        <f t="shared" si="16"/>
        <v>358.4</v>
      </c>
      <c r="AH78">
        <f t="shared" si="17"/>
        <v>220.8</v>
      </c>
      <c r="AI78">
        <f t="shared" si="18"/>
        <v>356.20000000000005</v>
      </c>
      <c r="AJ78">
        <f t="shared" si="19"/>
        <v>225.8</v>
      </c>
      <c r="AK78">
        <f t="shared" si="20"/>
        <v>356.2</v>
      </c>
    </row>
    <row r="79" spans="1:37" x14ac:dyDescent="0.25">
      <c r="A79" s="6" t="s">
        <v>34</v>
      </c>
      <c r="B79" s="6">
        <v>2015</v>
      </c>
      <c r="C79" s="6" t="s">
        <v>35</v>
      </c>
      <c r="D79" s="3">
        <v>123.7</v>
      </c>
      <c r="E79" s="3">
        <v>125.1</v>
      </c>
      <c r="F79" s="3">
        <v>121.1</v>
      </c>
      <c r="G79" s="3">
        <v>125.7</v>
      </c>
      <c r="H79" s="3">
        <v>109.1</v>
      </c>
      <c r="I79" s="3">
        <v>125.8</v>
      </c>
      <c r="J79" s="3">
        <v>129.4</v>
      </c>
      <c r="K79" s="3">
        <v>120.9</v>
      </c>
      <c r="L79" s="3">
        <v>98.3</v>
      </c>
      <c r="M79" s="3">
        <v>121.6</v>
      </c>
      <c r="N79" s="3">
        <v>118</v>
      </c>
      <c r="O79" s="3">
        <v>127.6</v>
      </c>
      <c r="P79" s="3">
        <v>123.1</v>
      </c>
      <c r="Q79" s="3">
        <v>125.2</v>
      </c>
      <c r="R79" s="3">
        <v>123.8</v>
      </c>
      <c r="S79" s="3">
        <v>120.1</v>
      </c>
      <c r="T79" s="3">
        <v>123.3</v>
      </c>
      <c r="U79" s="3">
        <v>118.1</v>
      </c>
      <c r="V79" s="3">
        <f t="shared" si="14"/>
        <v>118.1</v>
      </c>
      <c r="W79" s="3">
        <v>117.7</v>
      </c>
      <c r="X79" s="3">
        <v>118.7</v>
      </c>
      <c r="Y79" s="3">
        <v>116.3</v>
      </c>
      <c r="Z79" s="3">
        <v>108.7</v>
      </c>
      <c r="AA79" s="3">
        <v>114.9</v>
      </c>
      <c r="AB79" s="3">
        <v>119.7</v>
      </c>
      <c r="AC79" s="3">
        <v>111.2</v>
      </c>
      <c r="AD79" s="3">
        <v>114.1</v>
      </c>
      <c r="AE79" s="3">
        <v>119.7</v>
      </c>
      <c r="AF79">
        <f t="shared" si="15"/>
        <v>1569.3999999999996</v>
      </c>
      <c r="AG79">
        <f t="shared" si="16"/>
        <v>367.2</v>
      </c>
      <c r="AH79">
        <f t="shared" si="17"/>
        <v>226.4</v>
      </c>
      <c r="AI79">
        <f t="shared" si="18"/>
        <v>356.5</v>
      </c>
      <c r="AJ79">
        <f t="shared" si="19"/>
        <v>227.5</v>
      </c>
      <c r="AK79">
        <f t="shared" si="20"/>
        <v>354.20000000000005</v>
      </c>
    </row>
    <row r="80" spans="1:37" x14ac:dyDescent="0.25">
      <c r="A80" s="6" t="s">
        <v>30</v>
      </c>
      <c r="B80" s="6">
        <v>2015</v>
      </c>
      <c r="C80" s="6" t="s">
        <v>36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v>124.7</v>
      </c>
      <c r="R80" s="3">
        <v>126</v>
      </c>
      <c r="S80" s="3">
        <v>122.9</v>
      </c>
      <c r="T80" s="3">
        <v>125.5</v>
      </c>
      <c r="U80" s="3" t="s">
        <v>32</v>
      </c>
      <c r="V80" s="3">
        <f t="shared" si="14"/>
        <v>118.6</v>
      </c>
      <c r="W80" s="3">
        <v>120.6</v>
      </c>
      <c r="X80" s="3">
        <v>120.2</v>
      </c>
      <c r="Y80" s="3">
        <v>118.2</v>
      </c>
      <c r="Z80" s="3">
        <v>111.6</v>
      </c>
      <c r="AA80" s="3">
        <v>115.5</v>
      </c>
      <c r="AB80" s="3">
        <v>119.4</v>
      </c>
      <c r="AC80" s="3">
        <v>110.8</v>
      </c>
      <c r="AD80" s="3">
        <v>115.5</v>
      </c>
      <c r="AE80" s="3">
        <v>121.1</v>
      </c>
      <c r="AF80">
        <f t="shared" si="15"/>
        <v>1571.5</v>
      </c>
      <c r="AG80">
        <f t="shared" si="16"/>
        <v>374.4</v>
      </c>
      <c r="AH80">
        <f t="shared" si="17"/>
        <v>232.2</v>
      </c>
      <c r="AI80">
        <f t="shared" si="18"/>
        <v>358.20000000000005</v>
      </c>
      <c r="AJ80">
        <f t="shared" si="19"/>
        <v>229</v>
      </c>
      <c r="AK80">
        <f t="shared" si="20"/>
        <v>355.7</v>
      </c>
    </row>
    <row r="81" spans="1:37" x14ac:dyDescent="0.25">
      <c r="A81" s="6" t="s">
        <v>33</v>
      </c>
      <c r="B81" s="6">
        <v>2015</v>
      </c>
      <c r="C81" s="6" t="s">
        <v>36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v>128.80000000000001</v>
      </c>
      <c r="R81" s="3">
        <v>121.7</v>
      </c>
      <c r="S81" s="3">
        <v>116.9</v>
      </c>
      <c r="T81" s="3">
        <v>120.9</v>
      </c>
      <c r="U81" s="3">
        <v>118.6</v>
      </c>
      <c r="V81" s="3">
        <f t="shared" si="14"/>
        <v>118.6</v>
      </c>
      <c r="W81" s="3">
        <v>114.4</v>
      </c>
      <c r="X81" s="3">
        <v>118</v>
      </c>
      <c r="Y81" s="3">
        <v>114.3</v>
      </c>
      <c r="Z81" s="3">
        <v>108.4</v>
      </c>
      <c r="AA81" s="3">
        <v>115.4</v>
      </c>
      <c r="AB81" s="3">
        <v>120.6</v>
      </c>
      <c r="AC81" s="3">
        <v>111.3</v>
      </c>
      <c r="AD81" s="3">
        <v>113.8</v>
      </c>
      <c r="AE81" s="3">
        <v>119.1</v>
      </c>
      <c r="AF81">
        <f t="shared" si="15"/>
        <v>1568.0000000000002</v>
      </c>
      <c r="AG81">
        <f t="shared" si="16"/>
        <v>359.5</v>
      </c>
      <c r="AH81">
        <f t="shared" si="17"/>
        <v>222.8</v>
      </c>
      <c r="AI81">
        <f t="shared" si="18"/>
        <v>357.2</v>
      </c>
      <c r="AJ81">
        <f t="shared" si="19"/>
        <v>225.6</v>
      </c>
      <c r="AK81">
        <f t="shared" si="20"/>
        <v>358</v>
      </c>
    </row>
    <row r="82" spans="1:37" x14ac:dyDescent="0.25">
      <c r="A82" s="6" t="s">
        <v>34</v>
      </c>
      <c r="B82" s="6">
        <v>2015</v>
      </c>
      <c r="C82" s="6" t="s">
        <v>36</v>
      </c>
      <c r="D82" s="3">
        <v>123.5</v>
      </c>
      <c r="E82" s="3">
        <v>125.4</v>
      </c>
      <c r="F82" s="3">
        <v>116.8</v>
      </c>
      <c r="G82" s="3">
        <v>126</v>
      </c>
      <c r="H82" s="3">
        <v>109.2</v>
      </c>
      <c r="I82" s="3">
        <v>127.6</v>
      </c>
      <c r="J82" s="3">
        <v>129.19999999999999</v>
      </c>
      <c r="K82" s="3">
        <v>122.4</v>
      </c>
      <c r="L82" s="3">
        <v>97</v>
      </c>
      <c r="M82" s="3">
        <v>122.1</v>
      </c>
      <c r="N82" s="3">
        <v>118.1</v>
      </c>
      <c r="O82" s="3">
        <v>128.4</v>
      </c>
      <c r="P82" s="3">
        <v>123.4</v>
      </c>
      <c r="Q82" s="3">
        <v>125.8</v>
      </c>
      <c r="R82" s="3">
        <v>124.3</v>
      </c>
      <c r="S82" s="3">
        <v>120.4</v>
      </c>
      <c r="T82" s="3">
        <v>123.7</v>
      </c>
      <c r="U82" s="3">
        <v>118.6</v>
      </c>
      <c r="V82" s="3">
        <f t="shared" si="14"/>
        <v>118.6</v>
      </c>
      <c r="W82" s="3">
        <v>118.3</v>
      </c>
      <c r="X82" s="3">
        <v>119.2</v>
      </c>
      <c r="Y82" s="3">
        <v>116.7</v>
      </c>
      <c r="Z82" s="3">
        <v>109.9</v>
      </c>
      <c r="AA82" s="3">
        <v>115.4</v>
      </c>
      <c r="AB82" s="3">
        <v>120.1</v>
      </c>
      <c r="AC82" s="3">
        <v>111</v>
      </c>
      <c r="AD82" s="3">
        <v>114.7</v>
      </c>
      <c r="AE82" s="3">
        <v>120.2</v>
      </c>
      <c r="AF82">
        <f t="shared" si="15"/>
        <v>1569.1</v>
      </c>
      <c r="AG82">
        <f t="shared" si="16"/>
        <v>368.4</v>
      </c>
      <c r="AH82">
        <f t="shared" si="17"/>
        <v>228.2</v>
      </c>
      <c r="AI82">
        <f t="shared" si="18"/>
        <v>357.9</v>
      </c>
      <c r="AJ82">
        <f t="shared" si="19"/>
        <v>227.7</v>
      </c>
      <c r="AK82">
        <f t="shared" si="20"/>
        <v>355.9</v>
      </c>
    </row>
    <row r="83" spans="1:37" x14ac:dyDescent="0.25">
      <c r="A83" s="6" t="s">
        <v>30</v>
      </c>
      <c r="B83" s="6">
        <v>2015</v>
      </c>
      <c r="C83" s="6" t="s">
        <v>37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v>125.7</v>
      </c>
      <c r="R83" s="3">
        <v>126.4</v>
      </c>
      <c r="S83" s="3">
        <v>123.3</v>
      </c>
      <c r="T83" s="3">
        <v>126</v>
      </c>
      <c r="U83" s="3" t="s">
        <v>32</v>
      </c>
      <c r="V83" s="3">
        <f t="shared" si="14"/>
        <v>119.2</v>
      </c>
      <c r="W83" s="3">
        <v>121.2</v>
      </c>
      <c r="X83" s="3">
        <v>120.9</v>
      </c>
      <c r="Y83" s="3">
        <v>118.6</v>
      </c>
      <c r="Z83" s="3">
        <v>111.9</v>
      </c>
      <c r="AA83" s="3">
        <v>116.2</v>
      </c>
      <c r="AB83" s="3">
        <v>119.9</v>
      </c>
      <c r="AC83" s="3">
        <v>111.6</v>
      </c>
      <c r="AD83" s="3">
        <v>116</v>
      </c>
      <c r="AE83" s="3">
        <v>121.5</v>
      </c>
      <c r="AF83">
        <f t="shared" si="15"/>
        <v>1577.2</v>
      </c>
      <c r="AG83">
        <f t="shared" si="16"/>
        <v>375.7</v>
      </c>
      <c r="AH83">
        <f t="shared" si="17"/>
        <v>233.10000000000002</v>
      </c>
      <c r="AI83">
        <f t="shared" si="18"/>
        <v>360</v>
      </c>
      <c r="AJ83">
        <f t="shared" si="19"/>
        <v>230.2</v>
      </c>
      <c r="AK83">
        <f t="shared" si="20"/>
        <v>357.9</v>
      </c>
    </row>
    <row r="84" spans="1:37" x14ac:dyDescent="0.25">
      <c r="A84" s="6" t="s">
        <v>33</v>
      </c>
      <c r="B84" s="6">
        <v>2015</v>
      </c>
      <c r="C84" s="6" t="s">
        <v>37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v>130.1</v>
      </c>
      <c r="R84" s="3">
        <v>122.1</v>
      </c>
      <c r="S84" s="3">
        <v>117.2</v>
      </c>
      <c r="T84" s="3">
        <v>121.3</v>
      </c>
      <c r="U84" s="3">
        <v>119.2</v>
      </c>
      <c r="V84" s="3">
        <f t="shared" si="14"/>
        <v>119.2</v>
      </c>
      <c r="W84" s="3">
        <v>114.7</v>
      </c>
      <c r="X84" s="3">
        <v>118.4</v>
      </c>
      <c r="Y84" s="3">
        <v>114.6</v>
      </c>
      <c r="Z84" s="3">
        <v>108.4</v>
      </c>
      <c r="AA84" s="3">
        <v>115.6</v>
      </c>
      <c r="AB84" s="3">
        <v>121.7</v>
      </c>
      <c r="AC84" s="3">
        <v>111.8</v>
      </c>
      <c r="AD84" s="3">
        <v>114.2</v>
      </c>
      <c r="AE84" s="3">
        <v>119.7</v>
      </c>
      <c r="AF84">
        <f t="shared" si="15"/>
        <v>1576.1</v>
      </c>
      <c r="AG84">
        <f t="shared" si="16"/>
        <v>360.6</v>
      </c>
      <c r="AH84">
        <f t="shared" si="17"/>
        <v>223.10000000000002</v>
      </c>
      <c r="AI84">
        <f t="shared" si="18"/>
        <v>359.3</v>
      </c>
      <c r="AJ84">
        <f t="shared" si="19"/>
        <v>226.39999999999998</v>
      </c>
      <c r="AK84">
        <f t="shared" si="20"/>
        <v>359.9</v>
      </c>
    </row>
    <row r="85" spans="1:37" x14ac:dyDescent="0.25">
      <c r="A85" s="6" t="s">
        <v>34</v>
      </c>
      <c r="B85" s="6">
        <v>2015</v>
      </c>
      <c r="C85" s="6" t="s">
        <v>37</v>
      </c>
      <c r="D85" s="3">
        <v>123.5</v>
      </c>
      <c r="E85" s="3">
        <v>126.4</v>
      </c>
      <c r="F85" s="3">
        <v>114.4</v>
      </c>
      <c r="G85" s="3">
        <v>126.6</v>
      </c>
      <c r="H85" s="3">
        <v>109.2</v>
      </c>
      <c r="I85" s="3">
        <v>132.5</v>
      </c>
      <c r="J85" s="3">
        <v>128.6</v>
      </c>
      <c r="K85" s="3">
        <v>124.8</v>
      </c>
      <c r="L85" s="3">
        <v>95.7</v>
      </c>
      <c r="M85" s="3">
        <v>122.4</v>
      </c>
      <c r="N85" s="3">
        <v>118.5</v>
      </c>
      <c r="O85" s="3">
        <v>129.1</v>
      </c>
      <c r="P85" s="3">
        <v>124</v>
      </c>
      <c r="Q85" s="3">
        <v>126.9</v>
      </c>
      <c r="R85" s="3">
        <v>124.7</v>
      </c>
      <c r="S85" s="3">
        <v>120.8</v>
      </c>
      <c r="T85" s="3">
        <v>124.1</v>
      </c>
      <c r="U85" s="3">
        <v>119.2</v>
      </c>
      <c r="V85" s="3">
        <f t="shared" si="14"/>
        <v>119.2</v>
      </c>
      <c r="W85" s="3">
        <v>118.7</v>
      </c>
      <c r="X85" s="3">
        <v>119.7</v>
      </c>
      <c r="Y85" s="3">
        <v>117.1</v>
      </c>
      <c r="Z85" s="3">
        <v>110.1</v>
      </c>
      <c r="AA85" s="3">
        <v>115.9</v>
      </c>
      <c r="AB85" s="3">
        <v>121</v>
      </c>
      <c r="AC85" s="3">
        <v>111.7</v>
      </c>
      <c r="AD85" s="3">
        <v>115.1</v>
      </c>
      <c r="AE85" s="3">
        <v>120.7</v>
      </c>
      <c r="AF85">
        <f t="shared" si="15"/>
        <v>1575.7</v>
      </c>
      <c r="AG85">
        <f t="shared" si="16"/>
        <v>369.6</v>
      </c>
      <c r="AH85">
        <f t="shared" si="17"/>
        <v>228.8</v>
      </c>
      <c r="AI85">
        <f t="shared" si="18"/>
        <v>359.9</v>
      </c>
      <c r="AJ85">
        <f t="shared" si="19"/>
        <v>228.8</v>
      </c>
      <c r="AK85">
        <f t="shared" si="20"/>
        <v>357.9</v>
      </c>
    </row>
    <row r="86" spans="1:37" x14ac:dyDescent="0.25">
      <c r="A86" s="6" t="s">
        <v>30</v>
      </c>
      <c r="B86" s="6">
        <v>2015</v>
      </c>
      <c r="C86" s="6" t="s">
        <v>38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v>126.7</v>
      </c>
      <c r="R86" s="3">
        <v>127.3</v>
      </c>
      <c r="S86" s="3">
        <v>124.1</v>
      </c>
      <c r="T86" s="3">
        <v>126.8</v>
      </c>
      <c r="U86" s="3" t="s">
        <v>32</v>
      </c>
      <c r="V86" s="3">
        <f t="shared" si="14"/>
        <v>119.6</v>
      </c>
      <c r="W86" s="3">
        <v>121.9</v>
      </c>
      <c r="X86" s="3">
        <v>121.5</v>
      </c>
      <c r="Y86" s="3">
        <v>119.4</v>
      </c>
      <c r="Z86" s="3">
        <v>113.3</v>
      </c>
      <c r="AA86" s="3">
        <v>116.7</v>
      </c>
      <c r="AB86" s="3">
        <v>120.5</v>
      </c>
      <c r="AC86" s="3">
        <v>112.3</v>
      </c>
      <c r="AD86" s="3">
        <v>116.9</v>
      </c>
      <c r="AE86" s="3">
        <v>122.4</v>
      </c>
      <c r="AF86">
        <f t="shared" si="15"/>
        <v>1587.7</v>
      </c>
      <c r="AG86">
        <f t="shared" si="16"/>
        <v>378.2</v>
      </c>
      <c r="AH86">
        <f t="shared" si="17"/>
        <v>235.2</v>
      </c>
      <c r="AI86">
        <f t="shared" si="18"/>
        <v>361.6</v>
      </c>
      <c r="AJ86">
        <f t="shared" si="19"/>
        <v>231.7</v>
      </c>
      <c r="AK86">
        <f t="shared" si="20"/>
        <v>360.3</v>
      </c>
    </row>
    <row r="87" spans="1:37" x14ac:dyDescent="0.25">
      <c r="A87" s="6" t="s">
        <v>33</v>
      </c>
      <c r="B87" s="6">
        <v>2015</v>
      </c>
      <c r="C87" s="6" t="s">
        <v>38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v>131.30000000000001</v>
      </c>
      <c r="R87" s="3">
        <v>122.4</v>
      </c>
      <c r="S87" s="3">
        <v>117.4</v>
      </c>
      <c r="T87" s="3">
        <v>121.6</v>
      </c>
      <c r="U87" s="3">
        <v>119.6</v>
      </c>
      <c r="V87" s="3">
        <f t="shared" si="14"/>
        <v>119.6</v>
      </c>
      <c r="W87" s="3">
        <v>114.9</v>
      </c>
      <c r="X87" s="3">
        <v>118.7</v>
      </c>
      <c r="Y87" s="3">
        <v>114.9</v>
      </c>
      <c r="Z87" s="3">
        <v>110.8</v>
      </c>
      <c r="AA87" s="3">
        <v>116</v>
      </c>
      <c r="AB87" s="3">
        <v>122</v>
      </c>
      <c r="AC87" s="3">
        <v>112.4</v>
      </c>
      <c r="AD87" s="3">
        <v>115.2</v>
      </c>
      <c r="AE87" s="3">
        <v>120.7</v>
      </c>
      <c r="AF87">
        <f t="shared" si="15"/>
        <v>1598.9</v>
      </c>
      <c r="AG87">
        <f t="shared" si="16"/>
        <v>361.4</v>
      </c>
      <c r="AH87">
        <f t="shared" si="17"/>
        <v>225.7</v>
      </c>
      <c r="AI87">
        <f t="shared" si="18"/>
        <v>360.3</v>
      </c>
      <c r="AJ87">
        <f t="shared" si="19"/>
        <v>227.3</v>
      </c>
      <c r="AK87">
        <f t="shared" si="20"/>
        <v>362.5</v>
      </c>
    </row>
    <row r="88" spans="1:37" x14ac:dyDescent="0.25">
      <c r="A88" s="6" t="s">
        <v>34</v>
      </c>
      <c r="B88" s="6">
        <v>2015</v>
      </c>
      <c r="C88" s="6" t="s">
        <v>38</v>
      </c>
      <c r="D88" s="3">
        <v>123.6</v>
      </c>
      <c r="E88" s="3">
        <v>128</v>
      </c>
      <c r="F88" s="3">
        <v>115</v>
      </c>
      <c r="G88" s="3">
        <v>127.3</v>
      </c>
      <c r="H88" s="3">
        <v>109.8</v>
      </c>
      <c r="I88" s="3">
        <v>132.6</v>
      </c>
      <c r="J88" s="3">
        <v>130.9</v>
      </c>
      <c r="K88" s="3">
        <v>130.5</v>
      </c>
      <c r="L88" s="3">
        <v>95.3</v>
      </c>
      <c r="M88" s="3">
        <v>123.4</v>
      </c>
      <c r="N88" s="3">
        <v>119.2</v>
      </c>
      <c r="O88" s="3">
        <v>129.80000000000001</v>
      </c>
      <c r="P88" s="3">
        <v>125</v>
      </c>
      <c r="Q88" s="3">
        <v>127.9</v>
      </c>
      <c r="R88" s="3">
        <v>125.4</v>
      </c>
      <c r="S88" s="3">
        <v>121.3</v>
      </c>
      <c r="T88" s="3">
        <v>124.7</v>
      </c>
      <c r="U88" s="3">
        <v>119.6</v>
      </c>
      <c r="V88" s="3">
        <f t="shared" si="14"/>
        <v>119.6</v>
      </c>
      <c r="W88" s="3">
        <v>119.2</v>
      </c>
      <c r="X88" s="3">
        <v>120.2</v>
      </c>
      <c r="Y88" s="3">
        <v>117.7</v>
      </c>
      <c r="Z88" s="3">
        <v>112</v>
      </c>
      <c r="AA88" s="3">
        <v>116.3</v>
      </c>
      <c r="AB88" s="3">
        <v>121.4</v>
      </c>
      <c r="AC88" s="3">
        <v>112.3</v>
      </c>
      <c r="AD88" s="3">
        <v>116.1</v>
      </c>
      <c r="AE88" s="3">
        <v>121.6</v>
      </c>
      <c r="AF88">
        <f t="shared" si="15"/>
        <v>1590.4</v>
      </c>
      <c r="AG88">
        <f t="shared" si="16"/>
        <v>371.4</v>
      </c>
      <c r="AH88">
        <f t="shared" si="17"/>
        <v>231.2</v>
      </c>
      <c r="AI88">
        <f t="shared" si="18"/>
        <v>361.20000000000005</v>
      </c>
      <c r="AJ88">
        <f t="shared" si="19"/>
        <v>230</v>
      </c>
      <c r="AK88">
        <f t="shared" si="20"/>
        <v>360.29999999999995</v>
      </c>
    </row>
    <row r="89" spans="1:37" x14ac:dyDescent="0.25">
      <c r="A89" s="6" t="s">
        <v>30</v>
      </c>
      <c r="B89" s="6">
        <v>2015</v>
      </c>
      <c r="C89" s="6" t="s">
        <v>39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v>128.19999999999999</v>
      </c>
      <c r="R89" s="3">
        <v>128.4</v>
      </c>
      <c r="S89" s="3">
        <v>125.1</v>
      </c>
      <c r="T89" s="3">
        <v>128</v>
      </c>
      <c r="U89" s="3" t="s">
        <v>32</v>
      </c>
      <c r="V89" s="3">
        <f t="shared" si="14"/>
        <v>119</v>
      </c>
      <c r="W89" s="3">
        <v>122.6</v>
      </c>
      <c r="X89" s="3">
        <v>122.8</v>
      </c>
      <c r="Y89" s="3">
        <v>120.4</v>
      </c>
      <c r="Z89" s="3">
        <v>114.2</v>
      </c>
      <c r="AA89" s="3">
        <v>117.9</v>
      </c>
      <c r="AB89" s="3">
        <v>122</v>
      </c>
      <c r="AC89" s="3">
        <v>113</v>
      </c>
      <c r="AD89" s="3">
        <v>117.9</v>
      </c>
      <c r="AE89" s="3">
        <v>124.1</v>
      </c>
      <c r="AF89">
        <f t="shared" si="15"/>
        <v>1617.8999999999999</v>
      </c>
      <c r="AG89">
        <f t="shared" si="16"/>
        <v>381.5</v>
      </c>
      <c r="AH89">
        <f t="shared" si="17"/>
        <v>236.8</v>
      </c>
      <c r="AI89">
        <f t="shared" si="18"/>
        <v>363.8</v>
      </c>
      <c r="AJ89">
        <f t="shared" si="19"/>
        <v>233.4</v>
      </c>
      <c r="AK89">
        <f t="shared" si="20"/>
        <v>364</v>
      </c>
    </row>
    <row r="90" spans="1:37" x14ac:dyDescent="0.25">
      <c r="A90" s="6" t="s">
        <v>33</v>
      </c>
      <c r="B90" s="6">
        <v>2015</v>
      </c>
      <c r="C90" s="6" t="s">
        <v>39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v>132.1</v>
      </c>
      <c r="R90" s="3">
        <v>123.2</v>
      </c>
      <c r="S90" s="3">
        <v>117.6</v>
      </c>
      <c r="T90" s="3">
        <v>122.3</v>
      </c>
      <c r="U90" s="3">
        <v>119</v>
      </c>
      <c r="V90" s="3">
        <f t="shared" si="14"/>
        <v>119</v>
      </c>
      <c r="W90" s="3">
        <v>115.1</v>
      </c>
      <c r="X90" s="3">
        <v>119.2</v>
      </c>
      <c r="Y90" s="3">
        <v>115.4</v>
      </c>
      <c r="Z90" s="3">
        <v>111.7</v>
      </c>
      <c r="AA90" s="3">
        <v>116.2</v>
      </c>
      <c r="AB90" s="3">
        <v>123.8</v>
      </c>
      <c r="AC90" s="3">
        <v>112.5</v>
      </c>
      <c r="AD90" s="3">
        <v>116</v>
      </c>
      <c r="AE90" s="3">
        <v>121.7</v>
      </c>
      <c r="AF90">
        <f t="shared" si="15"/>
        <v>1636.6</v>
      </c>
      <c r="AG90">
        <f t="shared" si="16"/>
        <v>363.1</v>
      </c>
      <c r="AH90">
        <f t="shared" si="17"/>
        <v>226.8</v>
      </c>
      <c r="AI90">
        <f t="shared" si="18"/>
        <v>362</v>
      </c>
      <c r="AJ90">
        <f t="shared" si="19"/>
        <v>227.9</v>
      </c>
      <c r="AK90">
        <f t="shared" si="20"/>
        <v>364.3</v>
      </c>
    </row>
    <row r="91" spans="1:37" x14ac:dyDescent="0.25">
      <c r="A91" s="6" t="s">
        <v>34</v>
      </c>
      <c r="B91" s="6">
        <v>2015</v>
      </c>
      <c r="C91" s="6" t="s">
        <v>39</v>
      </c>
      <c r="D91" s="3">
        <v>123.9</v>
      </c>
      <c r="E91" s="3">
        <v>131.80000000000001</v>
      </c>
      <c r="F91" s="3">
        <v>121.6</v>
      </c>
      <c r="G91" s="3">
        <v>128.19999999999999</v>
      </c>
      <c r="H91" s="3">
        <v>111.1</v>
      </c>
      <c r="I91" s="3">
        <v>132.80000000000001</v>
      </c>
      <c r="J91" s="3">
        <v>139.1</v>
      </c>
      <c r="K91" s="3">
        <v>137.4</v>
      </c>
      <c r="L91" s="3">
        <v>94.1</v>
      </c>
      <c r="M91" s="3">
        <v>125.5</v>
      </c>
      <c r="N91" s="3">
        <v>119.8</v>
      </c>
      <c r="O91" s="3">
        <v>130.9</v>
      </c>
      <c r="P91" s="3">
        <v>127.3</v>
      </c>
      <c r="Q91" s="3">
        <v>129.19999999999999</v>
      </c>
      <c r="R91" s="3">
        <v>126.4</v>
      </c>
      <c r="S91" s="3">
        <v>122</v>
      </c>
      <c r="T91" s="3">
        <v>125.7</v>
      </c>
      <c r="U91" s="3">
        <v>119</v>
      </c>
      <c r="V91" s="3">
        <f t="shared" si="14"/>
        <v>119</v>
      </c>
      <c r="W91" s="3">
        <v>119.8</v>
      </c>
      <c r="X91" s="3">
        <v>121.1</v>
      </c>
      <c r="Y91" s="3">
        <v>118.5</v>
      </c>
      <c r="Z91" s="3">
        <v>112.9</v>
      </c>
      <c r="AA91" s="3">
        <v>116.9</v>
      </c>
      <c r="AB91" s="3">
        <v>123.1</v>
      </c>
      <c r="AC91" s="3">
        <v>112.8</v>
      </c>
      <c r="AD91" s="3">
        <v>117</v>
      </c>
      <c r="AE91" s="3">
        <v>123</v>
      </c>
      <c r="AF91">
        <f t="shared" si="15"/>
        <v>1623.5</v>
      </c>
      <c r="AG91">
        <f t="shared" si="16"/>
        <v>374.1</v>
      </c>
      <c r="AH91">
        <f t="shared" si="17"/>
        <v>232.7</v>
      </c>
      <c r="AI91">
        <f t="shared" si="18"/>
        <v>363.2</v>
      </c>
      <c r="AJ91">
        <f t="shared" si="19"/>
        <v>231.3</v>
      </c>
      <c r="AK91">
        <f t="shared" si="20"/>
        <v>363.1</v>
      </c>
    </row>
    <row r="92" spans="1:37" x14ac:dyDescent="0.25">
      <c r="A92" s="6" t="s">
        <v>30</v>
      </c>
      <c r="B92" s="6">
        <v>2015</v>
      </c>
      <c r="C92" s="6" t="s">
        <v>40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v>129.4</v>
      </c>
      <c r="R92" s="3">
        <v>128.80000000000001</v>
      </c>
      <c r="S92" s="3">
        <v>125.5</v>
      </c>
      <c r="T92" s="3">
        <v>128.30000000000001</v>
      </c>
      <c r="U92" s="3" t="s">
        <v>32</v>
      </c>
      <c r="V92" s="3">
        <f t="shared" si="14"/>
        <v>119.9</v>
      </c>
      <c r="W92" s="3">
        <v>123</v>
      </c>
      <c r="X92" s="3">
        <v>123</v>
      </c>
      <c r="Y92" s="3">
        <v>120.8</v>
      </c>
      <c r="Z92" s="3">
        <v>114.1</v>
      </c>
      <c r="AA92" s="3">
        <v>118</v>
      </c>
      <c r="AB92" s="3">
        <v>122.9</v>
      </c>
      <c r="AC92" s="3">
        <v>112.7</v>
      </c>
      <c r="AD92" s="3">
        <v>118.1</v>
      </c>
      <c r="AE92" s="3">
        <v>124.7</v>
      </c>
      <c r="AF92">
        <f t="shared" si="15"/>
        <v>1625.3</v>
      </c>
      <c r="AG92">
        <f t="shared" si="16"/>
        <v>382.6</v>
      </c>
      <c r="AH92">
        <f t="shared" si="17"/>
        <v>237.1</v>
      </c>
      <c r="AI92">
        <f t="shared" si="18"/>
        <v>365.8</v>
      </c>
      <c r="AJ92">
        <f t="shared" si="19"/>
        <v>233.5</v>
      </c>
      <c r="AK92">
        <f t="shared" si="20"/>
        <v>365.5</v>
      </c>
    </row>
    <row r="93" spans="1:37" x14ac:dyDescent="0.25">
      <c r="A93" s="6" t="s">
        <v>33</v>
      </c>
      <c r="B93" s="6">
        <v>2015</v>
      </c>
      <c r="C93" s="6" t="s">
        <v>40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v>133.1</v>
      </c>
      <c r="R93" s="3">
        <v>123.5</v>
      </c>
      <c r="S93" s="3">
        <v>117.9</v>
      </c>
      <c r="T93" s="3">
        <v>122.7</v>
      </c>
      <c r="U93" s="3">
        <v>119.9</v>
      </c>
      <c r="V93" s="3">
        <f t="shared" si="14"/>
        <v>119.9</v>
      </c>
      <c r="W93" s="3">
        <v>115.3</v>
      </c>
      <c r="X93" s="3">
        <v>119.5</v>
      </c>
      <c r="Y93" s="3">
        <v>116</v>
      </c>
      <c r="Z93" s="3">
        <v>111.5</v>
      </c>
      <c r="AA93" s="3">
        <v>116.6</v>
      </c>
      <c r="AB93" s="3">
        <v>125.4</v>
      </c>
      <c r="AC93" s="3">
        <v>111.7</v>
      </c>
      <c r="AD93" s="3">
        <v>116.3</v>
      </c>
      <c r="AE93" s="3">
        <v>122.4</v>
      </c>
      <c r="AF93">
        <f t="shared" si="15"/>
        <v>1642.8999999999999</v>
      </c>
      <c r="AG93">
        <f t="shared" si="16"/>
        <v>364.1</v>
      </c>
      <c r="AH93">
        <f t="shared" si="17"/>
        <v>226.8</v>
      </c>
      <c r="AI93">
        <f t="shared" si="18"/>
        <v>364.8</v>
      </c>
      <c r="AJ93">
        <f t="shared" si="19"/>
        <v>227.7</v>
      </c>
      <c r="AK93">
        <f t="shared" si="20"/>
        <v>366</v>
      </c>
    </row>
    <row r="94" spans="1:37" x14ac:dyDescent="0.25">
      <c r="A94" s="6" t="s">
        <v>34</v>
      </c>
      <c r="B94" s="6">
        <v>2015</v>
      </c>
      <c r="C94" s="6" t="s">
        <v>40</v>
      </c>
      <c r="D94" s="3">
        <v>123.7</v>
      </c>
      <c r="E94" s="3">
        <v>132.5</v>
      </c>
      <c r="F94" s="3">
        <v>121</v>
      </c>
      <c r="G94" s="3">
        <v>128.30000000000001</v>
      </c>
      <c r="H94" s="3">
        <v>110.9</v>
      </c>
      <c r="I94" s="3">
        <v>133.1</v>
      </c>
      <c r="J94" s="3">
        <v>145.1</v>
      </c>
      <c r="K94" s="3">
        <v>139.1</v>
      </c>
      <c r="L94" s="3">
        <v>91.3</v>
      </c>
      <c r="M94" s="3">
        <v>126.1</v>
      </c>
      <c r="N94" s="3">
        <v>119.9</v>
      </c>
      <c r="O94" s="3">
        <v>131.4</v>
      </c>
      <c r="P94" s="3">
        <v>128.19999999999999</v>
      </c>
      <c r="Q94" s="3">
        <v>130.4</v>
      </c>
      <c r="R94" s="3">
        <v>126.7</v>
      </c>
      <c r="S94" s="3">
        <v>122.3</v>
      </c>
      <c r="T94" s="3">
        <v>126.1</v>
      </c>
      <c r="U94" s="3">
        <v>119.9</v>
      </c>
      <c r="V94" s="3">
        <f t="shared" si="14"/>
        <v>119.9</v>
      </c>
      <c r="W94" s="3">
        <v>120.1</v>
      </c>
      <c r="X94" s="3">
        <v>121.3</v>
      </c>
      <c r="Y94" s="3">
        <v>119</v>
      </c>
      <c r="Z94" s="3">
        <v>112.7</v>
      </c>
      <c r="AA94" s="3">
        <v>117.2</v>
      </c>
      <c r="AB94" s="3">
        <v>124.4</v>
      </c>
      <c r="AC94" s="3">
        <v>112.3</v>
      </c>
      <c r="AD94" s="3">
        <v>117.2</v>
      </c>
      <c r="AE94" s="3">
        <v>123.6</v>
      </c>
      <c r="AF94">
        <f t="shared" si="15"/>
        <v>1630.6000000000001</v>
      </c>
      <c r="AG94">
        <f t="shared" si="16"/>
        <v>375.1</v>
      </c>
      <c r="AH94">
        <f t="shared" si="17"/>
        <v>232.8</v>
      </c>
      <c r="AI94">
        <f t="shared" si="18"/>
        <v>365.6</v>
      </c>
      <c r="AJ94">
        <f t="shared" si="19"/>
        <v>231.3</v>
      </c>
      <c r="AK94">
        <f t="shared" si="20"/>
        <v>364.8</v>
      </c>
    </row>
    <row r="95" spans="1:37" x14ac:dyDescent="0.25">
      <c r="A95" s="6" t="s">
        <v>30</v>
      </c>
      <c r="B95" s="6">
        <v>2015</v>
      </c>
      <c r="C95" s="6" t="s">
        <v>41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v>130.1</v>
      </c>
      <c r="R95" s="3">
        <v>129.5</v>
      </c>
      <c r="S95" s="3">
        <v>126.3</v>
      </c>
      <c r="T95" s="3">
        <v>129</v>
      </c>
      <c r="U95" s="3" t="s">
        <v>32</v>
      </c>
      <c r="V95" s="3">
        <f t="shared" si="14"/>
        <v>120.9</v>
      </c>
      <c r="W95" s="3">
        <v>123.8</v>
      </c>
      <c r="X95" s="3">
        <v>123.7</v>
      </c>
      <c r="Y95" s="3">
        <v>121.1</v>
      </c>
      <c r="Z95" s="3">
        <v>113.6</v>
      </c>
      <c r="AA95" s="3">
        <v>118.5</v>
      </c>
      <c r="AB95" s="3">
        <v>123.6</v>
      </c>
      <c r="AC95" s="3">
        <v>112.5</v>
      </c>
      <c r="AD95" s="3">
        <v>118.2</v>
      </c>
      <c r="AE95" s="3">
        <v>126.1</v>
      </c>
      <c r="AF95">
        <f t="shared" si="15"/>
        <v>1646.6</v>
      </c>
      <c r="AG95">
        <f t="shared" si="16"/>
        <v>384.8</v>
      </c>
      <c r="AH95">
        <f t="shared" si="17"/>
        <v>237.39999999999998</v>
      </c>
      <c r="AI95">
        <f t="shared" si="18"/>
        <v>368.20000000000005</v>
      </c>
      <c r="AJ95">
        <f t="shared" si="19"/>
        <v>233.6</v>
      </c>
      <c r="AK95">
        <f t="shared" si="20"/>
        <v>366.8</v>
      </c>
    </row>
    <row r="96" spans="1:37" x14ac:dyDescent="0.25">
      <c r="A96" s="6" t="s">
        <v>33</v>
      </c>
      <c r="B96" s="6">
        <v>2015</v>
      </c>
      <c r="C96" s="6" t="s">
        <v>41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v>134.19999999999999</v>
      </c>
      <c r="R96" s="3">
        <v>123.7</v>
      </c>
      <c r="S96" s="3">
        <v>118.2</v>
      </c>
      <c r="T96" s="3">
        <v>122.9</v>
      </c>
      <c r="U96" s="3">
        <v>120.9</v>
      </c>
      <c r="V96" s="3">
        <f t="shared" si="14"/>
        <v>120.9</v>
      </c>
      <c r="W96" s="3">
        <v>115.3</v>
      </c>
      <c r="X96" s="3">
        <v>120</v>
      </c>
      <c r="Y96" s="3">
        <v>116.6</v>
      </c>
      <c r="Z96" s="3">
        <v>109.9</v>
      </c>
      <c r="AA96" s="3">
        <v>117.2</v>
      </c>
      <c r="AB96" s="3">
        <v>126.2</v>
      </c>
      <c r="AC96" s="3">
        <v>112</v>
      </c>
      <c r="AD96" s="3">
        <v>116.2</v>
      </c>
      <c r="AE96" s="3">
        <v>123.2</v>
      </c>
      <c r="AF96">
        <f t="shared" si="15"/>
        <v>1658.8999999999999</v>
      </c>
      <c r="AG96">
        <f t="shared" si="16"/>
        <v>364.8</v>
      </c>
      <c r="AH96">
        <f t="shared" si="17"/>
        <v>225.2</v>
      </c>
      <c r="AI96">
        <f t="shared" si="18"/>
        <v>367.1</v>
      </c>
      <c r="AJ96">
        <f t="shared" si="19"/>
        <v>228.6</v>
      </c>
      <c r="AK96">
        <f t="shared" si="20"/>
        <v>367.59999999999997</v>
      </c>
    </row>
    <row r="97" spans="1:45" x14ac:dyDescent="0.25">
      <c r="A97" s="6" t="s">
        <v>34</v>
      </c>
      <c r="B97" s="6">
        <v>2015</v>
      </c>
      <c r="C97" s="6" t="s">
        <v>41</v>
      </c>
      <c r="D97" s="3">
        <v>124.2</v>
      </c>
      <c r="E97" s="3">
        <v>131.4</v>
      </c>
      <c r="F97" s="3">
        <v>120.1</v>
      </c>
      <c r="G97" s="3">
        <v>128.5</v>
      </c>
      <c r="H97" s="3">
        <v>111.4</v>
      </c>
      <c r="I97" s="3">
        <v>132.30000000000001</v>
      </c>
      <c r="J97" s="3">
        <v>157.6</v>
      </c>
      <c r="K97" s="3">
        <v>144</v>
      </c>
      <c r="L97" s="3">
        <v>90.5</v>
      </c>
      <c r="M97" s="3">
        <v>126.8</v>
      </c>
      <c r="N97" s="3">
        <v>120.4</v>
      </c>
      <c r="O97" s="3">
        <v>132.1</v>
      </c>
      <c r="P97" s="3">
        <v>130.30000000000001</v>
      </c>
      <c r="Q97" s="3">
        <v>131.19999999999999</v>
      </c>
      <c r="R97" s="3">
        <v>127.2</v>
      </c>
      <c r="S97" s="3">
        <v>122.9</v>
      </c>
      <c r="T97" s="3">
        <v>126.6</v>
      </c>
      <c r="U97" s="3">
        <v>120.9</v>
      </c>
      <c r="V97" s="3">
        <f t="shared" si="14"/>
        <v>120.9</v>
      </c>
      <c r="W97" s="3">
        <v>120.6</v>
      </c>
      <c r="X97" s="3">
        <v>122</v>
      </c>
      <c r="Y97" s="3">
        <v>119.4</v>
      </c>
      <c r="Z97" s="3">
        <v>111.7</v>
      </c>
      <c r="AA97" s="3">
        <v>117.8</v>
      </c>
      <c r="AB97" s="3">
        <v>125.1</v>
      </c>
      <c r="AC97" s="3">
        <v>112.3</v>
      </c>
      <c r="AD97" s="3">
        <v>117.2</v>
      </c>
      <c r="AE97" s="3">
        <v>124.8</v>
      </c>
      <c r="AF97">
        <f t="shared" si="15"/>
        <v>1649.6</v>
      </c>
      <c r="AG97">
        <f t="shared" si="16"/>
        <v>376.70000000000005</v>
      </c>
      <c r="AH97">
        <f t="shared" si="17"/>
        <v>232.3</v>
      </c>
      <c r="AI97">
        <f t="shared" si="18"/>
        <v>368</v>
      </c>
      <c r="AJ97">
        <f t="shared" si="19"/>
        <v>231.7</v>
      </c>
      <c r="AK97">
        <f t="shared" si="20"/>
        <v>366.2</v>
      </c>
    </row>
    <row r="98" spans="1:45" x14ac:dyDescent="0.25">
      <c r="A98" s="6" t="s">
        <v>30</v>
      </c>
      <c r="B98" s="6">
        <v>2015</v>
      </c>
      <c r="C98" s="6" t="s">
        <v>42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v>131</v>
      </c>
      <c r="R98" s="3">
        <v>130.4</v>
      </c>
      <c r="S98" s="3">
        <v>126.8</v>
      </c>
      <c r="T98" s="3">
        <v>129.9</v>
      </c>
      <c r="U98" s="3" t="s">
        <v>32</v>
      </c>
      <c r="V98" s="3">
        <f t="shared" si="14"/>
        <v>121.6</v>
      </c>
      <c r="W98" s="3">
        <v>123.7</v>
      </c>
      <c r="X98" s="3">
        <v>124.5</v>
      </c>
      <c r="Y98" s="3">
        <v>121.4</v>
      </c>
      <c r="Z98" s="3">
        <v>113.8</v>
      </c>
      <c r="AA98" s="3">
        <v>119.6</v>
      </c>
      <c r="AB98" s="3">
        <v>124.5</v>
      </c>
      <c r="AC98" s="3">
        <v>113.7</v>
      </c>
      <c r="AD98" s="3">
        <v>118.8</v>
      </c>
      <c r="AE98" s="3">
        <v>127</v>
      </c>
      <c r="AF98">
        <f t="shared" si="15"/>
        <v>1657.6000000000001</v>
      </c>
      <c r="AG98">
        <f t="shared" si="16"/>
        <v>387.1</v>
      </c>
      <c r="AH98">
        <f t="shared" si="17"/>
        <v>237.5</v>
      </c>
      <c r="AI98">
        <f t="shared" si="18"/>
        <v>370.6</v>
      </c>
      <c r="AJ98">
        <f t="shared" si="19"/>
        <v>235.10000000000002</v>
      </c>
      <c r="AK98">
        <f t="shared" si="20"/>
        <v>369.4</v>
      </c>
    </row>
    <row r="99" spans="1:45" x14ac:dyDescent="0.25">
      <c r="A99" s="6" t="s">
        <v>33</v>
      </c>
      <c r="B99" s="6">
        <v>2015</v>
      </c>
      <c r="C99" s="6" t="s">
        <v>42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v>134.69999999999999</v>
      </c>
      <c r="R99" s="3">
        <v>124</v>
      </c>
      <c r="S99" s="3">
        <v>118.6</v>
      </c>
      <c r="T99" s="3">
        <v>123.2</v>
      </c>
      <c r="U99" s="3">
        <v>121.6</v>
      </c>
      <c r="V99" s="3">
        <f t="shared" si="14"/>
        <v>121.6</v>
      </c>
      <c r="W99" s="3">
        <v>115.1</v>
      </c>
      <c r="X99" s="3">
        <v>120.4</v>
      </c>
      <c r="Y99" s="3">
        <v>117.1</v>
      </c>
      <c r="Z99" s="3">
        <v>109.1</v>
      </c>
      <c r="AA99" s="3">
        <v>117.3</v>
      </c>
      <c r="AB99" s="3">
        <v>126.5</v>
      </c>
      <c r="AC99" s="3">
        <v>112.9</v>
      </c>
      <c r="AD99" s="3">
        <v>116.2</v>
      </c>
      <c r="AE99" s="3">
        <v>123.5</v>
      </c>
      <c r="AF99">
        <f t="shared" si="15"/>
        <v>1664.8</v>
      </c>
      <c r="AG99">
        <f t="shared" si="16"/>
        <v>365.8</v>
      </c>
      <c r="AH99">
        <f t="shared" si="17"/>
        <v>224.2</v>
      </c>
      <c r="AI99">
        <f t="shared" si="18"/>
        <v>368.5</v>
      </c>
      <c r="AJ99">
        <f t="shared" si="19"/>
        <v>230</v>
      </c>
      <c r="AK99">
        <f t="shared" si="20"/>
        <v>368.2</v>
      </c>
    </row>
    <row r="100" spans="1:45" x14ac:dyDescent="0.25">
      <c r="A100" s="6" t="s">
        <v>34</v>
      </c>
      <c r="B100" s="6">
        <v>2015</v>
      </c>
      <c r="C100" s="6" t="s">
        <v>42</v>
      </c>
      <c r="D100" s="3">
        <v>124.6</v>
      </c>
      <c r="E100" s="3">
        <v>130.4</v>
      </c>
      <c r="F100" s="3">
        <v>118.7</v>
      </c>
      <c r="G100" s="3">
        <v>128.9</v>
      </c>
      <c r="H100" s="3">
        <v>111.9</v>
      </c>
      <c r="I100" s="3">
        <v>128.4</v>
      </c>
      <c r="J100" s="3">
        <v>162.19999999999999</v>
      </c>
      <c r="K100" s="3">
        <v>150</v>
      </c>
      <c r="L100" s="3">
        <v>90.4</v>
      </c>
      <c r="M100" s="3">
        <v>128.4</v>
      </c>
      <c r="N100" s="3">
        <v>120.7</v>
      </c>
      <c r="O100" s="3">
        <v>132.5</v>
      </c>
      <c r="P100" s="3">
        <v>131.19999999999999</v>
      </c>
      <c r="Q100" s="3">
        <v>132</v>
      </c>
      <c r="R100" s="3">
        <v>127.9</v>
      </c>
      <c r="S100" s="3">
        <v>123.4</v>
      </c>
      <c r="T100" s="3">
        <v>127.2</v>
      </c>
      <c r="U100" s="3">
        <v>121.6</v>
      </c>
      <c r="V100" s="3">
        <f t="shared" si="14"/>
        <v>121.6</v>
      </c>
      <c r="W100" s="3">
        <v>120.4</v>
      </c>
      <c r="X100" s="3">
        <v>122.6</v>
      </c>
      <c r="Y100" s="3">
        <v>119.8</v>
      </c>
      <c r="Z100" s="3">
        <v>111.3</v>
      </c>
      <c r="AA100" s="3">
        <v>118.3</v>
      </c>
      <c r="AB100" s="3">
        <v>125.7</v>
      </c>
      <c r="AC100" s="3">
        <v>113.4</v>
      </c>
      <c r="AD100" s="3">
        <v>117.5</v>
      </c>
      <c r="AE100" s="3">
        <v>125.4</v>
      </c>
      <c r="AF100">
        <f t="shared" si="15"/>
        <v>1658.3000000000002</v>
      </c>
      <c r="AG100">
        <f t="shared" si="16"/>
        <v>378.5</v>
      </c>
      <c r="AH100">
        <f t="shared" si="17"/>
        <v>231.7</v>
      </c>
      <c r="AI100">
        <f t="shared" si="18"/>
        <v>369.9</v>
      </c>
      <c r="AJ100">
        <f t="shared" si="19"/>
        <v>233.2</v>
      </c>
      <c r="AK100">
        <f t="shared" si="20"/>
        <v>367.8</v>
      </c>
    </row>
    <row r="101" spans="1:45" x14ac:dyDescent="0.25">
      <c r="A101" s="6" t="s">
        <v>30</v>
      </c>
      <c r="B101" s="6">
        <v>2015</v>
      </c>
      <c r="C101" s="6" t="s">
        <v>43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v>131.5</v>
      </c>
      <c r="R101" s="3">
        <v>131.1</v>
      </c>
      <c r="S101" s="3">
        <v>127.3</v>
      </c>
      <c r="T101" s="3">
        <v>130.6</v>
      </c>
      <c r="U101" s="3" t="s">
        <v>32</v>
      </c>
      <c r="V101" s="3">
        <f t="shared" si="14"/>
        <v>122.4</v>
      </c>
      <c r="W101" s="3">
        <v>124.4</v>
      </c>
      <c r="X101" s="3">
        <v>125.1</v>
      </c>
      <c r="Y101" s="3">
        <v>122</v>
      </c>
      <c r="Z101" s="3">
        <v>113.8</v>
      </c>
      <c r="AA101" s="3">
        <v>120.1</v>
      </c>
      <c r="AB101" s="3">
        <v>125.1</v>
      </c>
      <c r="AC101" s="3">
        <v>114.2</v>
      </c>
      <c r="AD101" s="3">
        <v>119.2</v>
      </c>
      <c r="AE101" s="3">
        <v>127.7</v>
      </c>
      <c r="AF101">
        <f t="shared" si="15"/>
        <v>1674.6</v>
      </c>
      <c r="AG101">
        <f t="shared" si="16"/>
        <v>389</v>
      </c>
      <c r="AH101">
        <f t="shared" si="17"/>
        <v>238.2</v>
      </c>
      <c r="AI101">
        <f t="shared" si="18"/>
        <v>372.6</v>
      </c>
      <c r="AJ101">
        <f t="shared" si="19"/>
        <v>236.2</v>
      </c>
      <c r="AK101">
        <f t="shared" si="20"/>
        <v>370.8</v>
      </c>
    </row>
    <row r="102" spans="1:45" x14ac:dyDescent="0.25">
      <c r="A102" s="6" t="s">
        <v>33</v>
      </c>
      <c r="B102" s="6">
        <v>2015</v>
      </c>
      <c r="C102" s="6" t="s">
        <v>43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v>135.30000000000001</v>
      </c>
      <c r="R102" s="3">
        <v>124.4</v>
      </c>
      <c r="S102" s="3">
        <v>118.8</v>
      </c>
      <c r="T102" s="3">
        <v>123.6</v>
      </c>
      <c r="U102" s="3">
        <v>122.4</v>
      </c>
      <c r="V102" s="3">
        <f t="shared" si="14"/>
        <v>122.4</v>
      </c>
      <c r="W102" s="3">
        <v>114.9</v>
      </c>
      <c r="X102" s="3">
        <v>120.7</v>
      </c>
      <c r="Y102" s="3">
        <v>117.7</v>
      </c>
      <c r="Z102" s="3">
        <v>109.3</v>
      </c>
      <c r="AA102" s="3">
        <v>117.7</v>
      </c>
      <c r="AB102" s="3">
        <v>126.5</v>
      </c>
      <c r="AC102" s="3">
        <v>113.5</v>
      </c>
      <c r="AD102" s="3">
        <v>116.5</v>
      </c>
      <c r="AE102" s="3">
        <v>124.2</v>
      </c>
      <c r="AF102">
        <f t="shared" si="15"/>
        <v>1692.8000000000002</v>
      </c>
      <c r="AG102">
        <f t="shared" si="16"/>
        <v>366.79999999999995</v>
      </c>
      <c r="AH102">
        <f t="shared" si="17"/>
        <v>224.2</v>
      </c>
      <c r="AI102">
        <f t="shared" si="18"/>
        <v>369.6</v>
      </c>
      <c r="AJ102">
        <f t="shared" si="19"/>
        <v>231.2</v>
      </c>
      <c r="AK102">
        <f t="shared" si="20"/>
        <v>369.5</v>
      </c>
    </row>
    <row r="103" spans="1:45" x14ac:dyDescent="0.25">
      <c r="A103" s="6" t="s">
        <v>34</v>
      </c>
      <c r="B103" s="6">
        <v>2015</v>
      </c>
      <c r="C103" s="6" t="s">
        <v>43</v>
      </c>
      <c r="D103" s="3">
        <v>125</v>
      </c>
      <c r="E103" s="3">
        <v>129.80000000000001</v>
      </c>
      <c r="F103" s="3">
        <v>118.9</v>
      </c>
      <c r="G103" s="3">
        <v>129.1</v>
      </c>
      <c r="H103" s="3">
        <v>113.3</v>
      </c>
      <c r="I103" s="3">
        <v>129</v>
      </c>
      <c r="J103" s="3">
        <v>160.4</v>
      </c>
      <c r="K103" s="3">
        <v>165.3</v>
      </c>
      <c r="L103" s="3">
        <v>92.3</v>
      </c>
      <c r="M103" s="3">
        <v>129.69999999999999</v>
      </c>
      <c r="N103" s="3">
        <v>121.1</v>
      </c>
      <c r="O103" s="3">
        <v>133</v>
      </c>
      <c r="P103" s="3">
        <v>132.1</v>
      </c>
      <c r="Q103" s="3">
        <v>132.5</v>
      </c>
      <c r="R103" s="3">
        <v>128.5</v>
      </c>
      <c r="S103" s="3">
        <v>123.8</v>
      </c>
      <c r="T103" s="3">
        <v>127.8</v>
      </c>
      <c r="U103" s="3">
        <v>122.4</v>
      </c>
      <c r="V103" s="3">
        <f t="shared" si="14"/>
        <v>122.4</v>
      </c>
      <c r="W103" s="3">
        <v>120.8</v>
      </c>
      <c r="X103" s="3">
        <v>123</v>
      </c>
      <c r="Y103" s="3">
        <v>120.4</v>
      </c>
      <c r="Z103" s="3">
        <v>111.4</v>
      </c>
      <c r="AA103" s="3">
        <v>118.7</v>
      </c>
      <c r="AB103" s="3">
        <v>125.9</v>
      </c>
      <c r="AC103" s="3">
        <v>113.9</v>
      </c>
      <c r="AD103" s="3">
        <v>117.9</v>
      </c>
      <c r="AE103" s="3">
        <v>126.1</v>
      </c>
      <c r="AF103">
        <f t="shared" si="15"/>
        <v>1678.9999999999998</v>
      </c>
      <c r="AG103">
        <f t="shared" si="16"/>
        <v>380.1</v>
      </c>
      <c r="AH103">
        <f t="shared" si="17"/>
        <v>232.2</v>
      </c>
      <c r="AI103">
        <f t="shared" si="18"/>
        <v>371.3</v>
      </c>
      <c r="AJ103">
        <f t="shared" si="19"/>
        <v>234.3</v>
      </c>
      <c r="AK103">
        <f t="shared" si="20"/>
        <v>369.1</v>
      </c>
    </row>
    <row r="104" spans="1:45" x14ac:dyDescent="0.25">
      <c r="A104" s="6" t="s">
        <v>30</v>
      </c>
      <c r="B104" s="6">
        <v>2015</v>
      </c>
      <c r="C104" s="6" t="s">
        <v>45</v>
      </c>
      <c r="D104" s="3">
        <v>126.1</v>
      </c>
      <c r="E104" s="3">
        <v>130.6</v>
      </c>
      <c r="F104" s="3">
        <v>121.7</v>
      </c>
      <c r="G104" s="3">
        <v>129.5</v>
      </c>
      <c r="H104" s="3">
        <v>117.8</v>
      </c>
      <c r="I104" s="3">
        <v>132.1</v>
      </c>
      <c r="J104" s="3">
        <v>155.19999999999999</v>
      </c>
      <c r="K104" s="3">
        <v>160.80000000000001</v>
      </c>
      <c r="L104" s="3">
        <v>94.5</v>
      </c>
      <c r="M104" s="3">
        <v>128.30000000000001</v>
      </c>
      <c r="N104" s="3">
        <v>123.1</v>
      </c>
      <c r="O104" s="3">
        <v>134.19999999999999</v>
      </c>
      <c r="P104" s="3">
        <v>132.4</v>
      </c>
      <c r="Q104" s="3">
        <v>132.19999999999999</v>
      </c>
      <c r="R104" s="3">
        <v>132.1</v>
      </c>
      <c r="S104" s="3">
        <v>128.19999999999999</v>
      </c>
      <c r="T104" s="3">
        <v>131.5</v>
      </c>
      <c r="U104" s="3" t="s">
        <v>32</v>
      </c>
      <c r="V104" s="3">
        <f t="shared" si="14"/>
        <v>122.9</v>
      </c>
      <c r="W104" s="3">
        <v>125.6</v>
      </c>
      <c r="X104" s="3">
        <v>125.6</v>
      </c>
      <c r="Y104" s="3">
        <v>122.6</v>
      </c>
      <c r="Z104" s="3">
        <v>114</v>
      </c>
      <c r="AA104" s="3">
        <v>120.9</v>
      </c>
      <c r="AB104" s="3">
        <v>125.8</v>
      </c>
      <c r="AC104" s="3">
        <v>114.2</v>
      </c>
      <c r="AD104" s="3">
        <v>119.6</v>
      </c>
      <c r="AE104" s="3">
        <v>128.30000000000001</v>
      </c>
      <c r="AF104">
        <f t="shared" si="15"/>
        <v>1686.3</v>
      </c>
      <c r="AG104">
        <f t="shared" si="16"/>
        <v>391.79999999999995</v>
      </c>
      <c r="AH104">
        <f t="shared" si="17"/>
        <v>239.6</v>
      </c>
      <c r="AI104">
        <f t="shared" si="18"/>
        <v>374.3</v>
      </c>
      <c r="AJ104">
        <f t="shared" si="19"/>
        <v>236.8</v>
      </c>
      <c r="AK104">
        <f t="shared" si="20"/>
        <v>372.7</v>
      </c>
    </row>
    <row r="105" spans="1:45" x14ac:dyDescent="0.25">
      <c r="A105" s="6" t="s">
        <v>33</v>
      </c>
      <c r="B105" s="6">
        <v>2015</v>
      </c>
      <c r="C105" s="6" t="s">
        <v>45</v>
      </c>
      <c r="D105" s="3">
        <v>124</v>
      </c>
      <c r="E105" s="3">
        <v>129.80000000000001</v>
      </c>
      <c r="F105" s="3">
        <v>121.5</v>
      </c>
      <c r="G105" s="3">
        <v>128.6</v>
      </c>
      <c r="H105" s="3">
        <v>110</v>
      </c>
      <c r="I105" s="3">
        <v>123.7</v>
      </c>
      <c r="J105" s="3">
        <v>164.6</v>
      </c>
      <c r="K105" s="3">
        <v>191.6</v>
      </c>
      <c r="L105" s="3">
        <v>90.8</v>
      </c>
      <c r="M105" s="3">
        <v>137.1</v>
      </c>
      <c r="N105" s="3">
        <v>119.8</v>
      </c>
      <c r="O105" s="3">
        <v>133.69999999999999</v>
      </c>
      <c r="P105" s="3">
        <v>133.30000000000001</v>
      </c>
      <c r="Q105" s="3">
        <v>137.6</v>
      </c>
      <c r="R105" s="3">
        <v>125</v>
      </c>
      <c r="S105" s="3">
        <v>119.3</v>
      </c>
      <c r="T105" s="3">
        <v>124.2</v>
      </c>
      <c r="U105" s="3">
        <v>122.9</v>
      </c>
      <c r="V105" s="3">
        <f t="shared" si="14"/>
        <v>122.9</v>
      </c>
      <c r="W105" s="3">
        <v>115.1</v>
      </c>
      <c r="X105" s="3">
        <v>121</v>
      </c>
      <c r="Y105" s="3">
        <v>118.1</v>
      </c>
      <c r="Z105" s="3">
        <v>109.3</v>
      </c>
      <c r="AA105" s="3">
        <v>117.9</v>
      </c>
      <c r="AB105" s="3">
        <v>126.6</v>
      </c>
      <c r="AC105" s="3">
        <v>113.3</v>
      </c>
      <c r="AD105" s="3">
        <v>116.6</v>
      </c>
      <c r="AE105" s="3">
        <v>124.6</v>
      </c>
      <c r="AF105">
        <f t="shared" si="15"/>
        <v>1708.4999999999998</v>
      </c>
      <c r="AG105">
        <f t="shared" si="16"/>
        <v>368.5</v>
      </c>
      <c r="AH105">
        <f t="shared" si="17"/>
        <v>224.39999999999998</v>
      </c>
      <c r="AI105">
        <f t="shared" si="18"/>
        <v>370.5</v>
      </c>
      <c r="AJ105">
        <f t="shared" si="19"/>
        <v>231.39999999999998</v>
      </c>
      <c r="AK105">
        <f t="shared" si="20"/>
        <v>372.1</v>
      </c>
    </row>
    <row r="106" spans="1:45" x14ac:dyDescent="0.25">
      <c r="A106" s="6" t="s">
        <v>34</v>
      </c>
      <c r="B106" s="6">
        <v>2015</v>
      </c>
      <c r="C106" s="6" t="s">
        <v>45</v>
      </c>
      <c r="D106" s="3">
        <v>125.4</v>
      </c>
      <c r="E106" s="3">
        <v>130.30000000000001</v>
      </c>
      <c r="F106" s="3">
        <v>121.6</v>
      </c>
      <c r="G106" s="3">
        <v>129.19999999999999</v>
      </c>
      <c r="H106" s="3">
        <v>114.9</v>
      </c>
      <c r="I106" s="3">
        <v>128.19999999999999</v>
      </c>
      <c r="J106" s="3">
        <v>158.4</v>
      </c>
      <c r="K106" s="3">
        <v>171.2</v>
      </c>
      <c r="L106" s="3">
        <v>93.3</v>
      </c>
      <c r="M106" s="3">
        <v>131.19999999999999</v>
      </c>
      <c r="N106" s="3">
        <v>121.7</v>
      </c>
      <c r="O106" s="3">
        <v>134</v>
      </c>
      <c r="P106" s="3">
        <v>132.69999999999999</v>
      </c>
      <c r="Q106" s="3">
        <v>133.6</v>
      </c>
      <c r="R106" s="3">
        <v>129.30000000000001</v>
      </c>
      <c r="S106" s="3">
        <v>124.5</v>
      </c>
      <c r="T106" s="3">
        <v>128.6</v>
      </c>
      <c r="U106" s="3">
        <v>122.9</v>
      </c>
      <c r="V106" s="3">
        <f t="shared" si="14"/>
        <v>122.9</v>
      </c>
      <c r="W106" s="3">
        <v>121.6</v>
      </c>
      <c r="X106" s="3">
        <v>123.4</v>
      </c>
      <c r="Y106" s="3">
        <v>120.9</v>
      </c>
      <c r="Z106" s="3">
        <v>111.5</v>
      </c>
      <c r="AA106" s="3">
        <v>119.2</v>
      </c>
      <c r="AB106" s="3">
        <v>126.3</v>
      </c>
      <c r="AC106" s="3">
        <v>113.8</v>
      </c>
      <c r="AD106" s="3">
        <v>118.1</v>
      </c>
      <c r="AE106" s="3">
        <v>126.6</v>
      </c>
      <c r="AF106">
        <f t="shared" si="15"/>
        <v>1692.1</v>
      </c>
      <c r="AG106">
        <f t="shared" si="16"/>
        <v>382.4</v>
      </c>
      <c r="AH106">
        <f t="shared" si="17"/>
        <v>233.1</v>
      </c>
      <c r="AI106">
        <f t="shared" si="18"/>
        <v>372.6</v>
      </c>
      <c r="AJ106">
        <f t="shared" si="19"/>
        <v>234.7</v>
      </c>
      <c r="AK106">
        <f t="shared" si="20"/>
        <v>370.9</v>
      </c>
    </row>
    <row r="107" spans="1:45" x14ac:dyDescent="0.25">
      <c r="A107" s="6" t="s">
        <v>30</v>
      </c>
      <c r="B107" s="6">
        <v>2015</v>
      </c>
      <c r="C107" s="6" t="s">
        <v>46</v>
      </c>
      <c r="D107" s="3">
        <v>126.3</v>
      </c>
      <c r="E107" s="3">
        <v>131.30000000000001</v>
      </c>
      <c r="F107" s="3">
        <v>123.3</v>
      </c>
      <c r="G107" s="3">
        <v>129.80000000000001</v>
      </c>
      <c r="H107" s="3">
        <v>118.3</v>
      </c>
      <c r="I107" s="3">
        <v>131.6</v>
      </c>
      <c r="J107" s="3">
        <v>145.5</v>
      </c>
      <c r="K107" s="3">
        <v>162.1</v>
      </c>
      <c r="L107" s="3">
        <v>95.4</v>
      </c>
      <c r="M107" s="3">
        <v>128.9</v>
      </c>
      <c r="N107" s="3">
        <v>123.3</v>
      </c>
      <c r="O107" s="3">
        <v>135.1</v>
      </c>
      <c r="P107" s="3">
        <v>131.4</v>
      </c>
      <c r="Q107" s="3">
        <v>133.1</v>
      </c>
      <c r="R107" s="3">
        <v>132.5</v>
      </c>
      <c r="S107" s="3">
        <v>128.5</v>
      </c>
      <c r="T107" s="3">
        <v>131.9</v>
      </c>
      <c r="U107" s="3" t="s">
        <v>32</v>
      </c>
      <c r="V107" s="3">
        <f t="shared" si="14"/>
        <v>122.4</v>
      </c>
      <c r="W107" s="3">
        <v>125.7</v>
      </c>
      <c r="X107" s="3">
        <v>126</v>
      </c>
      <c r="Y107" s="3">
        <v>123.1</v>
      </c>
      <c r="Z107" s="3">
        <v>114</v>
      </c>
      <c r="AA107" s="3">
        <v>121.6</v>
      </c>
      <c r="AB107" s="3">
        <v>125.6</v>
      </c>
      <c r="AC107" s="3">
        <v>114.1</v>
      </c>
      <c r="AD107" s="3">
        <v>119.8</v>
      </c>
      <c r="AE107" s="3">
        <v>127.9</v>
      </c>
      <c r="AF107">
        <f t="shared" si="15"/>
        <v>1682.3000000000002</v>
      </c>
      <c r="AG107">
        <f t="shared" si="16"/>
        <v>392.9</v>
      </c>
      <c r="AH107">
        <f t="shared" si="17"/>
        <v>239.7</v>
      </c>
      <c r="AI107">
        <f t="shared" si="18"/>
        <v>374</v>
      </c>
      <c r="AJ107">
        <f t="shared" si="19"/>
        <v>237.2</v>
      </c>
      <c r="AK107">
        <f t="shared" si="20"/>
        <v>374.5</v>
      </c>
    </row>
    <row r="108" spans="1:45" x14ac:dyDescent="0.25">
      <c r="A108" s="6" t="s">
        <v>33</v>
      </c>
      <c r="B108" s="6">
        <v>2015</v>
      </c>
      <c r="C108" s="6" t="s">
        <v>46</v>
      </c>
      <c r="D108" s="3">
        <v>124.3</v>
      </c>
      <c r="E108" s="3">
        <v>131.69999999999999</v>
      </c>
      <c r="F108" s="3">
        <v>127.1</v>
      </c>
      <c r="G108" s="3">
        <v>128.6</v>
      </c>
      <c r="H108" s="3">
        <v>110</v>
      </c>
      <c r="I108" s="3">
        <v>120.8</v>
      </c>
      <c r="J108" s="3">
        <v>149</v>
      </c>
      <c r="K108" s="3">
        <v>190.1</v>
      </c>
      <c r="L108" s="3">
        <v>92.7</v>
      </c>
      <c r="M108" s="3">
        <v>138.6</v>
      </c>
      <c r="N108" s="3">
        <v>120.2</v>
      </c>
      <c r="O108" s="3">
        <v>134.19999999999999</v>
      </c>
      <c r="P108" s="3">
        <v>131.5</v>
      </c>
      <c r="Q108" s="3">
        <v>138.19999999999999</v>
      </c>
      <c r="R108" s="3">
        <v>125.4</v>
      </c>
      <c r="S108" s="3">
        <v>119.5</v>
      </c>
      <c r="T108" s="3">
        <v>124.5</v>
      </c>
      <c r="U108" s="3">
        <v>122.4</v>
      </c>
      <c r="V108" s="3">
        <f t="shared" si="14"/>
        <v>122.4</v>
      </c>
      <c r="W108" s="3">
        <v>116</v>
      </c>
      <c r="X108" s="3">
        <v>121</v>
      </c>
      <c r="Y108" s="3">
        <v>118.6</v>
      </c>
      <c r="Z108" s="3">
        <v>109.3</v>
      </c>
      <c r="AA108" s="3">
        <v>118.1</v>
      </c>
      <c r="AB108" s="3">
        <v>126.6</v>
      </c>
      <c r="AC108" s="3">
        <v>113.2</v>
      </c>
      <c r="AD108" s="3">
        <v>116.7</v>
      </c>
      <c r="AE108" s="3">
        <v>124</v>
      </c>
      <c r="AF108">
        <f t="shared" si="15"/>
        <v>1698.8</v>
      </c>
      <c r="AG108">
        <f t="shared" si="16"/>
        <v>369.4</v>
      </c>
      <c r="AH108">
        <f t="shared" si="17"/>
        <v>225.3</v>
      </c>
      <c r="AI108">
        <f t="shared" si="18"/>
        <v>370</v>
      </c>
      <c r="AJ108">
        <f t="shared" si="19"/>
        <v>231.8</v>
      </c>
      <c r="AK108">
        <f t="shared" si="20"/>
        <v>372.99999999999994</v>
      </c>
    </row>
    <row r="109" spans="1:45" x14ac:dyDescent="0.25">
      <c r="A109" s="6" t="s">
        <v>34</v>
      </c>
      <c r="B109" s="6">
        <v>2015</v>
      </c>
      <c r="C109" s="6" t="s">
        <v>46</v>
      </c>
      <c r="D109" s="3">
        <v>125.7</v>
      </c>
      <c r="E109" s="3">
        <v>131.4</v>
      </c>
      <c r="F109" s="3">
        <v>124.8</v>
      </c>
      <c r="G109" s="3">
        <v>129.4</v>
      </c>
      <c r="H109" s="3">
        <v>115.3</v>
      </c>
      <c r="I109" s="3">
        <v>126.6</v>
      </c>
      <c r="J109" s="3">
        <v>146.69999999999999</v>
      </c>
      <c r="K109" s="3">
        <v>171.5</v>
      </c>
      <c r="L109" s="3">
        <v>94.5</v>
      </c>
      <c r="M109" s="3">
        <v>132.1</v>
      </c>
      <c r="N109" s="3">
        <v>122</v>
      </c>
      <c r="O109" s="3">
        <v>134.69999999999999</v>
      </c>
      <c r="P109" s="3">
        <v>131.4</v>
      </c>
      <c r="Q109" s="3">
        <v>134.5</v>
      </c>
      <c r="R109" s="3">
        <v>129.69999999999999</v>
      </c>
      <c r="S109" s="3">
        <v>124.8</v>
      </c>
      <c r="T109" s="3">
        <v>129</v>
      </c>
      <c r="U109" s="3">
        <v>122.4</v>
      </c>
      <c r="V109" s="3">
        <f t="shared" si="14"/>
        <v>122.4</v>
      </c>
      <c r="W109" s="3">
        <v>122</v>
      </c>
      <c r="X109" s="3">
        <v>123.6</v>
      </c>
      <c r="Y109" s="3">
        <v>121.4</v>
      </c>
      <c r="Z109" s="3">
        <v>111.5</v>
      </c>
      <c r="AA109" s="3">
        <v>119.6</v>
      </c>
      <c r="AB109" s="3">
        <v>126.2</v>
      </c>
      <c r="AC109" s="3">
        <v>113.7</v>
      </c>
      <c r="AD109" s="3">
        <v>118.3</v>
      </c>
      <c r="AE109" s="3">
        <v>126.1</v>
      </c>
      <c r="AF109">
        <f t="shared" si="15"/>
        <v>1686.1000000000001</v>
      </c>
      <c r="AG109">
        <f t="shared" si="16"/>
        <v>383.5</v>
      </c>
      <c r="AH109">
        <f t="shared" si="17"/>
        <v>233.5</v>
      </c>
      <c r="AI109">
        <f t="shared" si="18"/>
        <v>372.2</v>
      </c>
      <c r="AJ109">
        <f t="shared" si="19"/>
        <v>235.10000000000002</v>
      </c>
      <c r="AK109">
        <f t="shared" si="20"/>
        <v>372.4</v>
      </c>
    </row>
    <row r="110" spans="1:45" x14ac:dyDescent="0.25">
      <c r="A110" s="6" t="s">
        <v>30</v>
      </c>
      <c r="B110" s="6">
        <v>2016</v>
      </c>
      <c r="C110" s="6" t="s">
        <v>31</v>
      </c>
      <c r="D110" s="3">
        <v>126.8</v>
      </c>
      <c r="E110" s="3">
        <v>133.19999999999999</v>
      </c>
      <c r="F110" s="3">
        <v>126.5</v>
      </c>
      <c r="G110" s="3">
        <v>130.30000000000001</v>
      </c>
      <c r="H110" s="3">
        <v>118.9</v>
      </c>
      <c r="I110" s="3">
        <v>131.6</v>
      </c>
      <c r="J110" s="3">
        <v>140.1</v>
      </c>
      <c r="K110" s="3">
        <v>163.80000000000001</v>
      </c>
      <c r="L110" s="3">
        <v>97.7</v>
      </c>
      <c r="M110" s="3">
        <v>129.6</v>
      </c>
      <c r="N110" s="3">
        <v>124.3</v>
      </c>
      <c r="O110" s="3">
        <v>135.9</v>
      </c>
      <c r="P110" s="3">
        <v>131.4</v>
      </c>
      <c r="Q110" s="3">
        <v>133.6</v>
      </c>
      <c r="R110" s="3">
        <v>133.19999999999999</v>
      </c>
      <c r="S110" s="3">
        <v>128.9</v>
      </c>
      <c r="T110" s="3">
        <v>132.6</v>
      </c>
      <c r="U110" s="3" t="s">
        <v>32</v>
      </c>
      <c r="V110" s="3">
        <f t="shared" si="14"/>
        <v>123.4</v>
      </c>
      <c r="W110" s="3">
        <v>126.2</v>
      </c>
      <c r="X110" s="3">
        <v>126.6</v>
      </c>
      <c r="Y110" s="3">
        <v>123.7</v>
      </c>
      <c r="Z110" s="3">
        <v>113.6</v>
      </c>
      <c r="AA110" s="3">
        <v>121.4</v>
      </c>
      <c r="AB110" s="3">
        <v>126.2</v>
      </c>
      <c r="AC110" s="3">
        <v>114.9</v>
      </c>
      <c r="AD110" s="3">
        <v>120.1</v>
      </c>
      <c r="AE110" s="3">
        <v>128.1</v>
      </c>
      <c r="AF110">
        <f t="shared" si="15"/>
        <v>1690.1000000000001</v>
      </c>
      <c r="AG110">
        <f t="shared" si="16"/>
        <v>394.70000000000005</v>
      </c>
      <c r="AH110">
        <f t="shared" si="17"/>
        <v>239.8</v>
      </c>
      <c r="AI110">
        <f t="shared" si="18"/>
        <v>376.2</v>
      </c>
      <c r="AJ110">
        <f t="shared" si="19"/>
        <v>238.60000000000002</v>
      </c>
      <c r="AK110">
        <f t="shared" si="20"/>
        <v>375.1</v>
      </c>
      <c r="AM110">
        <f>AE148-AE112</f>
        <v>4.0000000000000142</v>
      </c>
      <c r="AN110">
        <f>AE184-AE148</f>
        <v>6.5999999999999943</v>
      </c>
      <c r="AO110">
        <f>AE220-AE184</f>
        <v>2.6999999999999886</v>
      </c>
      <c r="AP110">
        <f>AE253-AE220</f>
        <v>10.599999999999994</v>
      </c>
      <c r="AQ110">
        <f>AE289-AE253</f>
        <v>7.1000000000000227</v>
      </c>
      <c r="AR110">
        <f>AE325-AE289</f>
        <v>8.3999999999999773</v>
      </c>
      <c r="AS110" t="s">
        <v>64</v>
      </c>
    </row>
    <row r="111" spans="1:45" x14ac:dyDescent="0.25">
      <c r="A111" s="6" t="s">
        <v>33</v>
      </c>
      <c r="B111" s="6">
        <v>2016</v>
      </c>
      <c r="C111" s="6" t="s">
        <v>31</v>
      </c>
      <c r="D111" s="3">
        <v>124.7</v>
      </c>
      <c r="E111" s="3">
        <v>135.9</v>
      </c>
      <c r="F111" s="3">
        <v>132</v>
      </c>
      <c r="G111" s="3">
        <v>129.19999999999999</v>
      </c>
      <c r="H111" s="3">
        <v>109.7</v>
      </c>
      <c r="I111" s="3">
        <v>119</v>
      </c>
      <c r="J111" s="3">
        <v>144.1</v>
      </c>
      <c r="K111" s="3">
        <v>184.2</v>
      </c>
      <c r="L111" s="3">
        <v>96.7</v>
      </c>
      <c r="M111" s="3">
        <v>139.5</v>
      </c>
      <c r="N111" s="3">
        <v>120.5</v>
      </c>
      <c r="O111" s="3">
        <v>134.69999999999999</v>
      </c>
      <c r="P111" s="3">
        <v>131.19999999999999</v>
      </c>
      <c r="Q111" s="3">
        <v>139.5</v>
      </c>
      <c r="R111" s="3">
        <v>125.8</v>
      </c>
      <c r="S111" s="3">
        <v>119.8</v>
      </c>
      <c r="T111" s="3">
        <v>124.9</v>
      </c>
      <c r="U111" s="3">
        <v>123.4</v>
      </c>
      <c r="V111" s="3">
        <f t="shared" si="14"/>
        <v>123.4</v>
      </c>
      <c r="W111" s="3">
        <v>116.9</v>
      </c>
      <c r="X111" s="3">
        <v>121.6</v>
      </c>
      <c r="Y111" s="3">
        <v>119.1</v>
      </c>
      <c r="Z111" s="3">
        <v>108.9</v>
      </c>
      <c r="AA111" s="3">
        <v>118.5</v>
      </c>
      <c r="AB111" s="3">
        <v>126.4</v>
      </c>
      <c r="AC111" s="3">
        <v>114</v>
      </c>
      <c r="AD111" s="3">
        <v>116.8</v>
      </c>
      <c r="AE111" s="3">
        <v>124.2</v>
      </c>
      <c r="AF111">
        <f t="shared" si="15"/>
        <v>1701.4</v>
      </c>
      <c r="AG111">
        <f t="shared" si="16"/>
        <v>370.5</v>
      </c>
      <c r="AH111">
        <f t="shared" si="17"/>
        <v>225.8</v>
      </c>
      <c r="AI111">
        <f t="shared" si="18"/>
        <v>371.4</v>
      </c>
      <c r="AJ111">
        <f t="shared" si="19"/>
        <v>233.1</v>
      </c>
      <c r="AK111">
        <f t="shared" si="20"/>
        <v>374.8</v>
      </c>
      <c r="AM111">
        <f>AM110/AE112</f>
        <v>3.1670625494853638E-2</v>
      </c>
      <c r="AN111">
        <f>AN110/AE148</f>
        <v>5.0652340752110468E-2</v>
      </c>
      <c r="AO111">
        <f>AO110/AE184</f>
        <v>1.9722425127830449E-2</v>
      </c>
      <c r="AP111">
        <f>AP110/AE220</f>
        <v>7.5931232091690504E-2</v>
      </c>
      <c r="AQ111">
        <f>AQ110/AE253</f>
        <v>4.7270306258322389E-2</v>
      </c>
      <c r="AR111">
        <f>AR110/AE289</f>
        <v>5.3401144310235071E-2</v>
      </c>
    </row>
    <row r="112" spans="1:45" x14ac:dyDescent="0.25">
      <c r="A112" s="6" t="s">
        <v>34</v>
      </c>
      <c r="B112" s="6">
        <v>2016</v>
      </c>
      <c r="C112" s="6" t="s">
        <v>31</v>
      </c>
      <c r="D112" s="3">
        <v>126.1</v>
      </c>
      <c r="E112" s="3">
        <v>134.1</v>
      </c>
      <c r="F112" s="3">
        <v>128.6</v>
      </c>
      <c r="G112" s="3">
        <v>129.9</v>
      </c>
      <c r="H112" s="3">
        <v>115.5</v>
      </c>
      <c r="I112" s="3">
        <v>125.7</v>
      </c>
      <c r="J112" s="3">
        <v>141.5</v>
      </c>
      <c r="K112" s="3">
        <v>170.7</v>
      </c>
      <c r="L112" s="3">
        <v>97.4</v>
      </c>
      <c r="M112" s="3">
        <v>132.9</v>
      </c>
      <c r="N112" s="3">
        <v>122.7</v>
      </c>
      <c r="O112" s="3">
        <v>135.30000000000001</v>
      </c>
      <c r="P112" s="3">
        <v>131.30000000000001</v>
      </c>
      <c r="Q112" s="3">
        <v>135.19999999999999</v>
      </c>
      <c r="R112" s="3">
        <v>130.30000000000001</v>
      </c>
      <c r="S112" s="3">
        <v>125.1</v>
      </c>
      <c r="T112" s="3">
        <v>129.5</v>
      </c>
      <c r="U112" s="3">
        <v>123.4</v>
      </c>
      <c r="V112" s="3">
        <f t="shared" si="14"/>
        <v>123.4</v>
      </c>
      <c r="W112" s="3">
        <v>122.7</v>
      </c>
      <c r="X112" s="3">
        <v>124.2</v>
      </c>
      <c r="Y112" s="3">
        <v>122</v>
      </c>
      <c r="Z112" s="3">
        <v>111.1</v>
      </c>
      <c r="AA112" s="3">
        <v>119.8</v>
      </c>
      <c r="AB112" s="3">
        <v>126.3</v>
      </c>
      <c r="AC112" s="3">
        <v>114.5</v>
      </c>
      <c r="AD112" s="3">
        <v>118.5</v>
      </c>
      <c r="AE112" s="3">
        <v>126.3</v>
      </c>
      <c r="AF112">
        <f t="shared" si="15"/>
        <v>1691.7</v>
      </c>
      <c r="AG112">
        <f t="shared" si="16"/>
        <v>384.9</v>
      </c>
      <c r="AH112">
        <f t="shared" si="17"/>
        <v>233.8</v>
      </c>
      <c r="AI112">
        <f t="shared" si="18"/>
        <v>373.90000000000003</v>
      </c>
      <c r="AJ112">
        <f t="shared" si="19"/>
        <v>236.5</v>
      </c>
      <c r="AK112">
        <f t="shared" si="20"/>
        <v>373.5</v>
      </c>
    </row>
    <row r="113" spans="1:37" x14ac:dyDescent="0.25">
      <c r="A113" s="6" t="s">
        <v>30</v>
      </c>
      <c r="B113" s="6">
        <v>2016</v>
      </c>
      <c r="C113" s="6" t="s">
        <v>35</v>
      </c>
      <c r="D113" s="3">
        <v>127.1</v>
      </c>
      <c r="E113" s="3">
        <v>133.69999999999999</v>
      </c>
      <c r="F113" s="3">
        <v>127.7</v>
      </c>
      <c r="G113" s="3">
        <v>130.69999999999999</v>
      </c>
      <c r="H113" s="3">
        <v>118.5</v>
      </c>
      <c r="I113" s="3">
        <v>130.4</v>
      </c>
      <c r="J113" s="3">
        <v>130.9</v>
      </c>
      <c r="K113" s="3">
        <v>162.80000000000001</v>
      </c>
      <c r="L113" s="3">
        <v>98.7</v>
      </c>
      <c r="M113" s="3">
        <v>130.6</v>
      </c>
      <c r="N113" s="3">
        <v>124.8</v>
      </c>
      <c r="O113" s="3">
        <v>136.4</v>
      </c>
      <c r="P113" s="3">
        <v>130.30000000000001</v>
      </c>
      <c r="Q113" s="3">
        <v>134.4</v>
      </c>
      <c r="R113" s="3">
        <v>133.9</v>
      </c>
      <c r="S113" s="3">
        <v>129.80000000000001</v>
      </c>
      <c r="T113" s="3">
        <v>133.4</v>
      </c>
      <c r="U113" s="3" t="s">
        <v>32</v>
      </c>
      <c r="V113" s="3">
        <f t="shared" si="14"/>
        <v>124.4</v>
      </c>
      <c r="W113" s="3">
        <v>127.5</v>
      </c>
      <c r="X113" s="3">
        <v>127.1</v>
      </c>
      <c r="Y113" s="3">
        <v>124.3</v>
      </c>
      <c r="Z113" s="3">
        <v>113.9</v>
      </c>
      <c r="AA113" s="3">
        <v>122.3</v>
      </c>
      <c r="AB113" s="3">
        <v>127.1</v>
      </c>
      <c r="AC113" s="3">
        <v>116.8</v>
      </c>
      <c r="AD113" s="3">
        <v>120.9</v>
      </c>
      <c r="AE113" s="3">
        <v>127.9</v>
      </c>
      <c r="AF113">
        <f t="shared" si="15"/>
        <v>1682.6</v>
      </c>
      <c r="AG113">
        <f t="shared" si="16"/>
        <v>397.1</v>
      </c>
      <c r="AH113">
        <f t="shared" si="17"/>
        <v>241.4</v>
      </c>
      <c r="AI113">
        <f t="shared" si="18"/>
        <v>378.6</v>
      </c>
      <c r="AJ113">
        <f t="shared" si="19"/>
        <v>241.1</v>
      </c>
      <c r="AK113">
        <f t="shared" si="20"/>
        <v>377.6</v>
      </c>
    </row>
    <row r="114" spans="1:37" x14ac:dyDescent="0.25">
      <c r="A114" s="6" t="s">
        <v>33</v>
      </c>
      <c r="B114" s="6">
        <v>2016</v>
      </c>
      <c r="C114" s="6" t="s">
        <v>35</v>
      </c>
      <c r="D114" s="3">
        <v>124.8</v>
      </c>
      <c r="E114" s="3">
        <v>135.1</v>
      </c>
      <c r="F114" s="3">
        <v>130.30000000000001</v>
      </c>
      <c r="G114" s="3">
        <v>129.6</v>
      </c>
      <c r="H114" s="3">
        <v>108.4</v>
      </c>
      <c r="I114" s="3">
        <v>118.6</v>
      </c>
      <c r="J114" s="3">
        <v>129.19999999999999</v>
      </c>
      <c r="K114" s="3">
        <v>176.4</v>
      </c>
      <c r="L114" s="3">
        <v>99.1</v>
      </c>
      <c r="M114" s="3">
        <v>139.69999999999999</v>
      </c>
      <c r="N114" s="3">
        <v>120.6</v>
      </c>
      <c r="O114" s="3">
        <v>135.19999999999999</v>
      </c>
      <c r="P114" s="3">
        <v>129.1</v>
      </c>
      <c r="Q114" s="3">
        <v>140</v>
      </c>
      <c r="R114" s="3">
        <v>126.2</v>
      </c>
      <c r="S114" s="3">
        <v>120.1</v>
      </c>
      <c r="T114" s="3">
        <v>125.3</v>
      </c>
      <c r="U114" s="3">
        <v>124.4</v>
      </c>
      <c r="V114" s="3">
        <f t="shared" si="14"/>
        <v>124.4</v>
      </c>
      <c r="W114" s="3">
        <v>116</v>
      </c>
      <c r="X114" s="3">
        <v>121.8</v>
      </c>
      <c r="Y114" s="3">
        <v>119.5</v>
      </c>
      <c r="Z114" s="3">
        <v>109.1</v>
      </c>
      <c r="AA114" s="3">
        <v>118.8</v>
      </c>
      <c r="AB114" s="3">
        <v>126.3</v>
      </c>
      <c r="AC114" s="3">
        <v>116.2</v>
      </c>
      <c r="AD114" s="3">
        <v>117.2</v>
      </c>
      <c r="AE114" s="3">
        <v>123.8</v>
      </c>
      <c r="AF114">
        <f t="shared" si="15"/>
        <v>1676.1</v>
      </c>
      <c r="AG114">
        <f t="shared" si="16"/>
        <v>371.6</v>
      </c>
      <c r="AH114">
        <f t="shared" si="17"/>
        <v>225.1</v>
      </c>
      <c r="AI114">
        <f t="shared" si="18"/>
        <v>372.5</v>
      </c>
      <c r="AJ114">
        <f t="shared" si="19"/>
        <v>235.7</v>
      </c>
      <c r="AK114">
        <f t="shared" si="20"/>
        <v>376</v>
      </c>
    </row>
    <row r="115" spans="1:37" x14ac:dyDescent="0.25">
      <c r="A115" s="6" t="s">
        <v>34</v>
      </c>
      <c r="B115" s="6">
        <v>2016</v>
      </c>
      <c r="C115" s="6" t="s">
        <v>35</v>
      </c>
      <c r="D115" s="3">
        <v>126.4</v>
      </c>
      <c r="E115" s="3">
        <v>134.19999999999999</v>
      </c>
      <c r="F115" s="3">
        <v>128.69999999999999</v>
      </c>
      <c r="G115" s="3">
        <v>130.30000000000001</v>
      </c>
      <c r="H115" s="3">
        <v>114.8</v>
      </c>
      <c r="I115" s="3">
        <v>124.9</v>
      </c>
      <c r="J115" s="3">
        <v>130.30000000000001</v>
      </c>
      <c r="K115" s="3">
        <v>167.4</v>
      </c>
      <c r="L115" s="3">
        <v>98.8</v>
      </c>
      <c r="M115" s="3">
        <v>133.6</v>
      </c>
      <c r="N115" s="3">
        <v>123</v>
      </c>
      <c r="O115" s="3">
        <v>135.80000000000001</v>
      </c>
      <c r="P115" s="3">
        <v>129.9</v>
      </c>
      <c r="Q115" s="3">
        <v>135.9</v>
      </c>
      <c r="R115" s="3">
        <v>130.9</v>
      </c>
      <c r="S115" s="3">
        <v>125.8</v>
      </c>
      <c r="T115" s="3">
        <v>130.19999999999999</v>
      </c>
      <c r="U115" s="3">
        <v>124.4</v>
      </c>
      <c r="V115" s="3">
        <f t="shared" si="14"/>
        <v>124.4</v>
      </c>
      <c r="W115" s="3">
        <v>123.1</v>
      </c>
      <c r="X115" s="3">
        <v>124.6</v>
      </c>
      <c r="Y115" s="3">
        <v>122.5</v>
      </c>
      <c r="Z115" s="3">
        <v>111.4</v>
      </c>
      <c r="AA115" s="3">
        <v>120.3</v>
      </c>
      <c r="AB115" s="3">
        <v>126.6</v>
      </c>
      <c r="AC115" s="3">
        <v>116.6</v>
      </c>
      <c r="AD115" s="3">
        <v>119.1</v>
      </c>
      <c r="AE115" s="3">
        <v>126</v>
      </c>
      <c r="AF115">
        <f t="shared" si="15"/>
        <v>1678.1</v>
      </c>
      <c r="AG115">
        <f t="shared" si="16"/>
        <v>386.9</v>
      </c>
      <c r="AH115">
        <f t="shared" si="17"/>
        <v>234.5</v>
      </c>
      <c r="AI115">
        <f t="shared" si="18"/>
        <v>375.6</v>
      </c>
      <c r="AJ115">
        <f t="shared" si="19"/>
        <v>239.1</v>
      </c>
      <c r="AK115">
        <f t="shared" si="20"/>
        <v>375.29999999999995</v>
      </c>
    </row>
    <row r="116" spans="1:37" x14ac:dyDescent="0.25">
      <c r="A116" s="6" t="s">
        <v>30</v>
      </c>
      <c r="B116" s="6">
        <v>2016</v>
      </c>
      <c r="C116" s="6" t="s">
        <v>36</v>
      </c>
      <c r="D116" s="3">
        <v>127.3</v>
      </c>
      <c r="E116" s="3">
        <v>134.4</v>
      </c>
      <c r="F116" s="3">
        <v>125.1</v>
      </c>
      <c r="G116" s="3">
        <v>130.5</v>
      </c>
      <c r="H116" s="3">
        <v>118.3</v>
      </c>
      <c r="I116" s="3">
        <v>131.69999999999999</v>
      </c>
      <c r="J116" s="3">
        <v>130.69999999999999</v>
      </c>
      <c r="K116" s="3">
        <v>161.19999999999999</v>
      </c>
      <c r="L116" s="3">
        <v>100.4</v>
      </c>
      <c r="M116" s="3">
        <v>130.80000000000001</v>
      </c>
      <c r="N116" s="3">
        <v>124.9</v>
      </c>
      <c r="O116" s="3">
        <v>137</v>
      </c>
      <c r="P116" s="3">
        <v>130.4</v>
      </c>
      <c r="Q116" s="3">
        <v>135</v>
      </c>
      <c r="R116" s="3">
        <v>134.4</v>
      </c>
      <c r="S116" s="3">
        <v>130.19999999999999</v>
      </c>
      <c r="T116" s="3">
        <v>133.80000000000001</v>
      </c>
      <c r="U116" s="3" t="s">
        <v>32</v>
      </c>
      <c r="V116" s="3">
        <f t="shared" si="14"/>
        <v>124.9</v>
      </c>
      <c r="W116" s="3">
        <v>127</v>
      </c>
      <c r="X116" s="3">
        <v>127.7</v>
      </c>
      <c r="Y116" s="3">
        <v>124.8</v>
      </c>
      <c r="Z116" s="3">
        <v>113.6</v>
      </c>
      <c r="AA116" s="3">
        <v>122.5</v>
      </c>
      <c r="AB116" s="3">
        <v>127.5</v>
      </c>
      <c r="AC116" s="3">
        <v>117.4</v>
      </c>
      <c r="AD116" s="3">
        <v>121.1</v>
      </c>
      <c r="AE116" s="3">
        <v>128</v>
      </c>
      <c r="AF116">
        <f t="shared" si="15"/>
        <v>1682.7000000000003</v>
      </c>
      <c r="AG116">
        <f t="shared" si="16"/>
        <v>398.40000000000003</v>
      </c>
      <c r="AH116">
        <f t="shared" si="17"/>
        <v>240.6</v>
      </c>
      <c r="AI116">
        <f t="shared" si="18"/>
        <v>380.1</v>
      </c>
      <c r="AJ116">
        <f t="shared" si="19"/>
        <v>242.2</v>
      </c>
      <c r="AK116">
        <f t="shared" si="20"/>
        <v>378.6</v>
      </c>
    </row>
    <row r="117" spans="1:37" x14ac:dyDescent="0.25">
      <c r="A117" s="6" t="s">
        <v>33</v>
      </c>
      <c r="B117" s="6">
        <v>2016</v>
      </c>
      <c r="C117" s="6" t="s">
        <v>36</v>
      </c>
      <c r="D117" s="3">
        <v>124.8</v>
      </c>
      <c r="E117" s="3">
        <v>136.30000000000001</v>
      </c>
      <c r="F117" s="3">
        <v>123.7</v>
      </c>
      <c r="G117" s="3">
        <v>129.69999999999999</v>
      </c>
      <c r="H117" s="3">
        <v>107.9</v>
      </c>
      <c r="I117" s="3">
        <v>119.9</v>
      </c>
      <c r="J117" s="3">
        <v>128.1</v>
      </c>
      <c r="K117" s="3">
        <v>170.3</v>
      </c>
      <c r="L117" s="3">
        <v>101.8</v>
      </c>
      <c r="M117" s="3">
        <v>140.1</v>
      </c>
      <c r="N117" s="3">
        <v>120.7</v>
      </c>
      <c r="O117" s="3">
        <v>135.4</v>
      </c>
      <c r="P117" s="3">
        <v>128.9</v>
      </c>
      <c r="Q117" s="3">
        <v>140.6</v>
      </c>
      <c r="R117" s="3">
        <v>126.4</v>
      </c>
      <c r="S117" s="3">
        <v>120.3</v>
      </c>
      <c r="T117" s="3">
        <v>125.5</v>
      </c>
      <c r="U117" s="3">
        <v>124.9</v>
      </c>
      <c r="V117" s="3">
        <f t="shared" si="14"/>
        <v>124.9</v>
      </c>
      <c r="W117" s="3">
        <v>114.8</v>
      </c>
      <c r="X117" s="3">
        <v>122.3</v>
      </c>
      <c r="Y117" s="3">
        <v>119.7</v>
      </c>
      <c r="Z117" s="3">
        <v>108.5</v>
      </c>
      <c r="AA117" s="3">
        <v>119.1</v>
      </c>
      <c r="AB117" s="3">
        <v>126.4</v>
      </c>
      <c r="AC117" s="3">
        <v>117.1</v>
      </c>
      <c r="AD117" s="3">
        <v>117.3</v>
      </c>
      <c r="AE117" s="3">
        <v>123.8</v>
      </c>
      <c r="AF117">
        <f t="shared" si="15"/>
        <v>1667.6000000000001</v>
      </c>
      <c r="AG117">
        <f t="shared" si="16"/>
        <v>372.2</v>
      </c>
      <c r="AH117">
        <f t="shared" si="17"/>
        <v>223.3</v>
      </c>
      <c r="AI117">
        <f t="shared" si="18"/>
        <v>373.6</v>
      </c>
      <c r="AJ117">
        <f t="shared" si="19"/>
        <v>236.8</v>
      </c>
      <c r="AK117">
        <f t="shared" si="20"/>
        <v>377</v>
      </c>
    </row>
    <row r="118" spans="1:37" x14ac:dyDescent="0.25">
      <c r="A118" s="6" t="s">
        <v>34</v>
      </c>
      <c r="B118" s="6">
        <v>2016</v>
      </c>
      <c r="C118" s="6" t="s">
        <v>36</v>
      </c>
      <c r="D118" s="3">
        <v>126.5</v>
      </c>
      <c r="E118" s="3">
        <v>135.1</v>
      </c>
      <c r="F118" s="3">
        <v>124.6</v>
      </c>
      <c r="G118" s="3">
        <v>130.19999999999999</v>
      </c>
      <c r="H118" s="3">
        <v>114.5</v>
      </c>
      <c r="I118" s="3">
        <v>126.2</v>
      </c>
      <c r="J118" s="3">
        <v>129.80000000000001</v>
      </c>
      <c r="K118" s="3">
        <v>164.3</v>
      </c>
      <c r="L118" s="3">
        <v>100.9</v>
      </c>
      <c r="M118" s="3">
        <v>133.9</v>
      </c>
      <c r="N118" s="3">
        <v>123.1</v>
      </c>
      <c r="O118" s="3">
        <v>136.30000000000001</v>
      </c>
      <c r="P118" s="3">
        <v>129.80000000000001</v>
      </c>
      <c r="Q118" s="3">
        <v>136.5</v>
      </c>
      <c r="R118" s="3">
        <v>131.30000000000001</v>
      </c>
      <c r="S118" s="3">
        <v>126.1</v>
      </c>
      <c r="T118" s="3">
        <v>130.5</v>
      </c>
      <c r="U118" s="3">
        <v>124.9</v>
      </c>
      <c r="V118" s="3">
        <f t="shared" si="14"/>
        <v>124.9</v>
      </c>
      <c r="W118" s="3">
        <v>122.4</v>
      </c>
      <c r="X118" s="3">
        <v>125.1</v>
      </c>
      <c r="Y118" s="3">
        <v>122.9</v>
      </c>
      <c r="Z118" s="3">
        <v>110.9</v>
      </c>
      <c r="AA118" s="3">
        <v>120.6</v>
      </c>
      <c r="AB118" s="3">
        <v>126.9</v>
      </c>
      <c r="AC118" s="3">
        <v>117.3</v>
      </c>
      <c r="AD118" s="3">
        <v>119.3</v>
      </c>
      <c r="AE118" s="3">
        <v>126</v>
      </c>
      <c r="AF118">
        <f t="shared" si="15"/>
        <v>1675.2</v>
      </c>
      <c r="AG118">
        <f t="shared" si="16"/>
        <v>387.9</v>
      </c>
      <c r="AH118">
        <f t="shared" si="17"/>
        <v>233.3</v>
      </c>
      <c r="AI118">
        <f t="shared" si="18"/>
        <v>376.9</v>
      </c>
      <c r="AJ118">
        <f t="shared" si="19"/>
        <v>240.2</v>
      </c>
      <c r="AK118">
        <f t="shared" si="20"/>
        <v>376.40000000000003</v>
      </c>
    </row>
    <row r="119" spans="1:37" x14ac:dyDescent="0.25">
      <c r="A119" s="6" t="s">
        <v>30</v>
      </c>
      <c r="B119" s="6">
        <v>2016</v>
      </c>
      <c r="C119" s="6" t="s">
        <v>37</v>
      </c>
      <c r="D119" s="3">
        <v>127.4</v>
      </c>
      <c r="E119" s="3">
        <v>135.4</v>
      </c>
      <c r="F119" s="3">
        <v>123.4</v>
      </c>
      <c r="G119" s="3">
        <v>131.30000000000001</v>
      </c>
      <c r="H119" s="3">
        <v>118.2</v>
      </c>
      <c r="I119" s="3">
        <v>138.1</v>
      </c>
      <c r="J119" s="3">
        <v>134.1</v>
      </c>
      <c r="K119" s="3">
        <v>162.69999999999999</v>
      </c>
      <c r="L119" s="3">
        <v>105</v>
      </c>
      <c r="M119" s="3">
        <v>131.4</v>
      </c>
      <c r="N119" s="3">
        <v>125.4</v>
      </c>
      <c r="O119" s="3">
        <v>137.4</v>
      </c>
      <c r="P119" s="3">
        <v>131.80000000000001</v>
      </c>
      <c r="Q119" s="3">
        <v>135.5</v>
      </c>
      <c r="R119" s="3">
        <v>135</v>
      </c>
      <c r="S119" s="3">
        <v>130.6</v>
      </c>
      <c r="T119" s="3">
        <v>134.4</v>
      </c>
      <c r="U119" s="3" t="s">
        <v>32</v>
      </c>
      <c r="V119" s="3">
        <f t="shared" si="14"/>
        <v>125.6</v>
      </c>
      <c r="W119" s="3">
        <v>127</v>
      </c>
      <c r="X119" s="3">
        <v>128</v>
      </c>
      <c r="Y119" s="3">
        <v>125.2</v>
      </c>
      <c r="Z119" s="3">
        <v>114.4</v>
      </c>
      <c r="AA119" s="3">
        <v>123.2</v>
      </c>
      <c r="AB119" s="3">
        <v>127.9</v>
      </c>
      <c r="AC119" s="3">
        <v>118.4</v>
      </c>
      <c r="AD119" s="3">
        <v>121.7</v>
      </c>
      <c r="AE119" s="3">
        <v>129</v>
      </c>
      <c r="AF119">
        <f t="shared" si="15"/>
        <v>1701.6000000000004</v>
      </c>
      <c r="AG119">
        <f t="shared" si="16"/>
        <v>400</v>
      </c>
      <c r="AH119">
        <f t="shared" si="17"/>
        <v>241.4</v>
      </c>
      <c r="AI119">
        <f t="shared" si="18"/>
        <v>381.5</v>
      </c>
      <c r="AJ119">
        <f t="shared" si="19"/>
        <v>243.60000000000002</v>
      </c>
      <c r="AK119">
        <f t="shared" si="20"/>
        <v>380.4</v>
      </c>
    </row>
    <row r="120" spans="1:37" x14ac:dyDescent="0.25">
      <c r="A120" s="6" t="s">
        <v>33</v>
      </c>
      <c r="B120" s="6">
        <v>2016</v>
      </c>
      <c r="C120" s="6" t="s">
        <v>37</v>
      </c>
      <c r="D120" s="3">
        <v>124.9</v>
      </c>
      <c r="E120" s="3">
        <v>139.30000000000001</v>
      </c>
      <c r="F120" s="3">
        <v>119.9</v>
      </c>
      <c r="G120" s="3">
        <v>130.19999999999999</v>
      </c>
      <c r="H120" s="3">
        <v>108.9</v>
      </c>
      <c r="I120" s="3">
        <v>131.1</v>
      </c>
      <c r="J120" s="3">
        <v>136.80000000000001</v>
      </c>
      <c r="K120" s="3">
        <v>176.9</v>
      </c>
      <c r="L120" s="3">
        <v>109.1</v>
      </c>
      <c r="M120" s="3">
        <v>140.4</v>
      </c>
      <c r="N120" s="3">
        <v>121.1</v>
      </c>
      <c r="O120" s="3">
        <v>135.9</v>
      </c>
      <c r="P120" s="3">
        <v>131.80000000000001</v>
      </c>
      <c r="Q120" s="3">
        <v>141.5</v>
      </c>
      <c r="R120" s="3">
        <v>126.8</v>
      </c>
      <c r="S120" s="3">
        <v>120.5</v>
      </c>
      <c r="T120" s="3">
        <v>125.8</v>
      </c>
      <c r="U120" s="3">
        <v>125.6</v>
      </c>
      <c r="V120" s="3">
        <f t="shared" si="14"/>
        <v>125.6</v>
      </c>
      <c r="W120" s="3">
        <v>114.6</v>
      </c>
      <c r="X120" s="3">
        <v>122.8</v>
      </c>
      <c r="Y120" s="3">
        <v>120</v>
      </c>
      <c r="Z120" s="3">
        <v>110</v>
      </c>
      <c r="AA120" s="3">
        <v>119.5</v>
      </c>
      <c r="AB120" s="3">
        <v>127.6</v>
      </c>
      <c r="AC120" s="3">
        <v>117.6</v>
      </c>
      <c r="AD120" s="3">
        <v>118.2</v>
      </c>
      <c r="AE120" s="3">
        <v>125.3</v>
      </c>
      <c r="AF120">
        <f t="shared" si="15"/>
        <v>1706.3</v>
      </c>
      <c r="AG120">
        <f t="shared" si="16"/>
        <v>373.1</v>
      </c>
      <c r="AH120">
        <f t="shared" si="17"/>
        <v>224.6</v>
      </c>
      <c r="AI120">
        <f t="shared" si="18"/>
        <v>376</v>
      </c>
      <c r="AJ120">
        <f t="shared" si="19"/>
        <v>237.6</v>
      </c>
      <c r="AK120">
        <f t="shared" si="20"/>
        <v>379.2</v>
      </c>
    </row>
    <row r="121" spans="1:37" x14ac:dyDescent="0.25">
      <c r="A121" s="6" t="s">
        <v>34</v>
      </c>
      <c r="B121" s="6">
        <v>2016</v>
      </c>
      <c r="C121" s="6" t="s">
        <v>37</v>
      </c>
      <c r="D121" s="3">
        <v>126.6</v>
      </c>
      <c r="E121" s="3">
        <v>136.80000000000001</v>
      </c>
      <c r="F121" s="3">
        <v>122</v>
      </c>
      <c r="G121" s="3">
        <v>130.9</v>
      </c>
      <c r="H121" s="3">
        <v>114.8</v>
      </c>
      <c r="I121" s="3">
        <v>134.80000000000001</v>
      </c>
      <c r="J121" s="3">
        <v>135</v>
      </c>
      <c r="K121" s="3">
        <v>167.5</v>
      </c>
      <c r="L121" s="3">
        <v>106.4</v>
      </c>
      <c r="M121" s="3">
        <v>134.4</v>
      </c>
      <c r="N121" s="3">
        <v>123.6</v>
      </c>
      <c r="O121" s="3">
        <v>136.69999999999999</v>
      </c>
      <c r="P121" s="3">
        <v>131.80000000000001</v>
      </c>
      <c r="Q121" s="3">
        <v>137.1</v>
      </c>
      <c r="R121" s="3">
        <v>131.80000000000001</v>
      </c>
      <c r="S121" s="3">
        <v>126.4</v>
      </c>
      <c r="T121" s="3">
        <v>131</v>
      </c>
      <c r="U121" s="3">
        <v>125.6</v>
      </c>
      <c r="V121" s="3">
        <f t="shared" si="14"/>
        <v>125.6</v>
      </c>
      <c r="W121" s="3">
        <v>122.3</v>
      </c>
      <c r="X121" s="3">
        <v>125.5</v>
      </c>
      <c r="Y121" s="3">
        <v>123.2</v>
      </c>
      <c r="Z121" s="3">
        <v>112.1</v>
      </c>
      <c r="AA121" s="3">
        <v>121.1</v>
      </c>
      <c r="AB121" s="3">
        <v>127.7</v>
      </c>
      <c r="AC121" s="3">
        <v>118.1</v>
      </c>
      <c r="AD121" s="3">
        <v>120</v>
      </c>
      <c r="AE121" s="3">
        <v>127.3</v>
      </c>
      <c r="AF121">
        <f t="shared" si="15"/>
        <v>1701.3</v>
      </c>
      <c r="AG121">
        <f t="shared" si="16"/>
        <v>389.20000000000005</v>
      </c>
      <c r="AH121">
        <f t="shared" si="17"/>
        <v>234.39999999999998</v>
      </c>
      <c r="AI121">
        <f t="shared" si="18"/>
        <v>378.8</v>
      </c>
      <c r="AJ121">
        <f t="shared" si="19"/>
        <v>241.3</v>
      </c>
      <c r="AK121">
        <f t="shared" si="20"/>
        <v>378.2</v>
      </c>
    </row>
    <row r="122" spans="1:37" x14ac:dyDescent="0.25">
      <c r="A122" s="6" t="s">
        <v>30</v>
      </c>
      <c r="B122" s="6">
        <v>2016</v>
      </c>
      <c r="C122" s="6" t="s">
        <v>38</v>
      </c>
      <c r="D122" s="3">
        <v>127.6</v>
      </c>
      <c r="E122" s="3">
        <v>137.5</v>
      </c>
      <c r="F122" s="3">
        <v>124.4</v>
      </c>
      <c r="G122" s="3">
        <v>132.4</v>
      </c>
      <c r="H122" s="3">
        <v>118.2</v>
      </c>
      <c r="I122" s="3">
        <v>138.1</v>
      </c>
      <c r="J122" s="3">
        <v>141.80000000000001</v>
      </c>
      <c r="K122" s="3">
        <v>166</v>
      </c>
      <c r="L122" s="3">
        <v>107.5</v>
      </c>
      <c r="M122" s="3">
        <v>132.19999999999999</v>
      </c>
      <c r="N122" s="3">
        <v>126.1</v>
      </c>
      <c r="O122" s="3">
        <v>138.30000000000001</v>
      </c>
      <c r="P122" s="3">
        <v>133.6</v>
      </c>
      <c r="Q122" s="3">
        <v>136</v>
      </c>
      <c r="R122" s="3">
        <v>135.4</v>
      </c>
      <c r="S122" s="3">
        <v>131.1</v>
      </c>
      <c r="T122" s="3">
        <v>134.80000000000001</v>
      </c>
      <c r="U122" s="3" t="s">
        <v>32</v>
      </c>
      <c r="V122" s="3">
        <f t="shared" si="14"/>
        <v>126</v>
      </c>
      <c r="W122" s="3">
        <v>127.4</v>
      </c>
      <c r="X122" s="3">
        <v>128.5</v>
      </c>
      <c r="Y122" s="3">
        <v>125.8</v>
      </c>
      <c r="Z122" s="3">
        <v>115.1</v>
      </c>
      <c r="AA122" s="3">
        <v>123.6</v>
      </c>
      <c r="AB122" s="3">
        <v>129.1</v>
      </c>
      <c r="AC122" s="3">
        <v>119.7</v>
      </c>
      <c r="AD122" s="3">
        <v>122.5</v>
      </c>
      <c r="AE122" s="3">
        <v>130.30000000000001</v>
      </c>
      <c r="AF122">
        <f t="shared" si="15"/>
        <v>1723.6999999999998</v>
      </c>
      <c r="AG122">
        <f t="shared" si="16"/>
        <v>401.3</v>
      </c>
      <c r="AH122">
        <f t="shared" si="17"/>
        <v>242.5</v>
      </c>
      <c r="AI122">
        <f t="shared" si="18"/>
        <v>383.6</v>
      </c>
      <c r="AJ122">
        <f t="shared" si="19"/>
        <v>245.5</v>
      </c>
      <c r="AK122">
        <f t="shared" si="20"/>
        <v>382.1</v>
      </c>
    </row>
    <row r="123" spans="1:37" x14ac:dyDescent="0.25">
      <c r="A123" s="6" t="s">
        <v>33</v>
      </c>
      <c r="B123" s="6">
        <v>2016</v>
      </c>
      <c r="C123" s="6" t="s">
        <v>38</v>
      </c>
      <c r="D123" s="3">
        <v>125</v>
      </c>
      <c r="E123" s="3">
        <v>142.1</v>
      </c>
      <c r="F123" s="3">
        <v>127</v>
      </c>
      <c r="G123" s="3">
        <v>130.4</v>
      </c>
      <c r="H123" s="3">
        <v>109.6</v>
      </c>
      <c r="I123" s="3">
        <v>133.5</v>
      </c>
      <c r="J123" s="3">
        <v>151.4</v>
      </c>
      <c r="K123" s="3">
        <v>182.8</v>
      </c>
      <c r="L123" s="3">
        <v>111.1</v>
      </c>
      <c r="M123" s="3">
        <v>141.5</v>
      </c>
      <c r="N123" s="3">
        <v>121.5</v>
      </c>
      <c r="O123" s="3">
        <v>136.30000000000001</v>
      </c>
      <c r="P123" s="3">
        <v>134.6</v>
      </c>
      <c r="Q123" s="3">
        <v>142.19999999999999</v>
      </c>
      <c r="R123" s="3">
        <v>127.2</v>
      </c>
      <c r="S123" s="3">
        <v>120.7</v>
      </c>
      <c r="T123" s="3">
        <v>126.2</v>
      </c>
      <c r="U123" s="3">
        <v>126</v>
      </c>
      <c r="V123" s="3">
        <f t="shared" si="14"/>
        <v>126</v>
      </c>
      <c r="W123" s="3">
        <v>115</v>
      </c>
      <c r="X123" s="3">
        <v>123.2</v>
      </c>
      <c r="Y123" s="3">
        <v>120.3</v>
      </c>
      <c r="Z123" s="3">
        <v>110.7</v>
      </c>
      <c r="AA123" s="3">
        <v>119.8</v>
      </c>
      <c r="AB123" s="3">
        <v>128</v>
      </c>
      <c r="AC123" s="3">
        <v>118.5</v>
      </c>
      <c r="AD123" s="3">
        <v>118.7</v>
      </c>
      <c r="AE123" s="3">
        <v>126.6</v>
      </c>
      <c r="AF123">
        <f t="shared" si="15"/>
        <v>1746.7999999999997</v>
      </c>
      <c r="AG123">
        <f t="shared" si="16"/>
        <v>374.1</v>
      </c>
      <c r="AH123">
        <f t="shared" si="17"/>
        <v>225.7</v>
      </c>
      <c r="AI123">
        <f t="shared" si="18"/>
        <v>377.2</v>
      </c>
      <c r="AJ123">
        <f t="shared" si="19"/>
        <v>238.8</v>
      </c>
      <c r="AK123">
        <f t="shared" si="20"/>
        <v>380.7</v>
      </c>
    </row>
    <row r="124" spans="1:37" x14ac:dyDescent="0.25">
      <c r="A124" s="6" t="s">
        <v>34</v>
      </c>
      <c r="B124" s="6">
        <v>2016</v>
      </c>
      <c r="C124" s="6" t="s">
        <v>38</v>
      </c>
      <c r="D124" s="3">
        <v>126.8</v>
      </c>
      <c r="E124" s="3">
        <v>139.1</v>
      </c>
      <c r="F124" s="3">
        <v>125.4</v>
      </c>
      <c r="G124" s="3">
        <v>131.69999999999999</v>
      </c>
      <c r="H124" s="3">
        <v>115</v>
      </c>
      <c r="I124" s="3">
        <v>136</v>
      </c>
      <c r="J124" s="3">
        <v>145.1</v>
      </c>
      <c r="K124" s="3">
        <v>171.7</v>
      </c>
      <c r="L124" s="3">
        <v>108.7</v>
      </c>
      <c r="M124" s="3">
        <v>135.30000000000001</v>
      </c>
      <c r="N124" s="3">
        <v>124.2</v>
      </c>
      <c r="O124" s="3">
        <v>137.4</v>
      </c>
      <c r="P124" s="3">
        <v>134</v>
      </c>
      <c r="Q124" s="3">
        <v>137.69999999999999</v>
      </c>
      <c r="R124" s="3">
        <v>132.19999999999999</v>
      </c>
      <c r="S124" s="3">
        <v>126.8</v>
      </c>
      <c r="T124" s="3">
        <v>131.4</v>
      </c>
      <c r="U124" s="3">
        <v>126</v>
      </c>
      <c r="V124" s="3">
        <f t="shared" si="14"/>
        <v>126</v>
      </c>
      <c r="W124" s="3">
        <v>122.7</v>
      </c>
      <c r="X124" s="3">
        <v>126</v>
      </c>
      <c r="Y124" s="3">
        <v>123.7</v>
      </c>
      <c r="Z124" s="3">
        <v>112.8</v>
      </c>
      <c r="AA124" s="3">
        <v>121.5</v>
      </c>
      <c r="AB124" s="3">
        <v>128.5</v>
      </c>
      <c r="AC124" s="3">
        <v>119.2</v>
      </c>
      <c r="AD124" s="3">
        <v>120.7</v>
      </c>
      <c r="AE124" s="3">
        <v>128.6</v>
      </c>
      <c r="AF124">
        <f t="shared" si="15"/>
        <v>1730.4</v>
      </c>
      <c r="AG124">
        <f t="shared" si="16"/>
        <v>390.4</v>
      </c>
      <c r="AH124">
        <f t="shared" si="17"/>
        <v>235.5</v>
      </c>
      <c r="AI124">
        <f t="shared" si="18"/>
        <v>380.5</v>
      </c>
      <c r="AJ124">
        <f t="shared" si="19"/>
        <v>242.9</v>
      </c>
      <c r="AK124">
        <f t="shared" si="20"/>
        <v>379.9</v>
      </c>
    </row>
    <row r="125" spans="1:37" x14ac:dyDescent="0.25">
      <c r="A125" s="6" t="s">
        <v>30</v>
      </c>
      <c r="B125" s="6">
        <v>2016</v>
      </c>
      <c r="C125" s="6" t="s">
        <v>39</v>
      </c>
      <c r="D125" s="3">
        <v>128.6</v>
      </c>
      <c r="E125" s="3">
        <v>138.6</v>
      </c>
      <c r="F125" s="3">
        <v>126.6</v>
      </c>
      <c r="G125" s="3">
        <v>133.6</v>
      </c>
      <c r="H125" s="3">
        <v>118.6</v>
      </c>
      <c r="I125" s="3">
        <v>137.4</v>
      </c>
      <c r="J125" s="3">
        <v>152.5</v>
      </c>
      <c r="K125" s="3">
        <v>169.2</v>
      </c>
      <c r="L125" s="3">
        <v>108.8</v>
      </c>
      <c r="M125" s="3">
        <v>133.1</v>
      </c>
      <c r="N125" s="3">
        <v>126.4</v>
      </c>
      <c r="O125" s="3">
        <v>139.19999999999999</v>
      </c>
      <c r="P125" s="3">
        <v>136</v>
      </c>
      <c r="Q125" s="3">
        <v>137.19999999999999</v>
      </c>
      <c r="R125" s="3">
        <v>136.30000000000001</v>
      </c>
      <c r="S125" s="3">
        <v>131.6</v>
      </c>
      <c r="T125" s="3">
        <v>135.6</v>
      </c>
      <c r="U125" s="3" t="s">
        <v>32</v>
      </c>
      <c r="V125" s="3">
        <f t="shared" si="14"/>
        <v>125.5</v>
      </c>
      <c r="W125" s="3">
        <v>128</v>
      </c>
      <c r="X125" s="3">
        <v>129.30000000000001</v>
      </c>
      <c r="Y125" s="3">
        <v>126.2</v>
      </c>
      <c r="Z125" s="3">
        <v>116.3</v>
      </c>
      <c r="AA125" s="3">
        <v>124.1</v>
      </c>
      <c r="AB125" s="3">
        <v>130.19999999999999</v>
      </c>
      <c r="AC125" s="3">
        <v>119.9</v>
      </c>
      <c r="AD125" s="3">
        <v>123.3</v>
      </c>
      <c r="AE125" s="3">
        <v>131.9</v>
      </c>
      <c r="AF125">
        <f t="shared" si="15"/>
        <v>1748.6</v>
      </c>
      <c r="AG125">
        <f t="shared" si="16"/>
        <v>403.5</v>
      </c>
      <c r="AH125">
        <f t="shared" si="17"/>
        <v>244.3</v>
      </c>
      <c r="AI125">
        <f t="shared" si="18"/>
        <v>385</v>
      </c>
      <c r="AJ125">
        <f t="shared" si="19"/>
        <v>246.10000000000002</v>
      </c>
      <c r="AK125">
        <f t="shared" si="20"/>
        <v>384.59999999999997</v>
      </c>
    </row>
    <row r="126" spans="1:37" x14ac:dyDescent="0.25">
      <c r="A126" s="6" t="s">
        <v>33</v>
      </c>
      <c r="B126" s="6">
        <v>2016</v>
      </c>
      <c r="C126" s="6" t="s">
        <v>39</v>
      </c>
      <c r="D126" s="3">
        <v>125.9</v>
      </c>
      <c r="E126" s="3">
        <v>143.9</v>
      </c>
      <c r="F126" s="3">
        <v>130.9</v>
      </c>
      <c r="G126" s="3">
        <v>131</v>
      </c>
      <c r="H126" s="3">
        <v>110.2</v>
      </c>
      <c r="I126" s="3">
        <v>135.5</v>
      </c>
      <c r="J126" s="3">
        <v>173.7</v>
      </c>
      <c r="K126" s="3">
        <v>184.4</v>
      </c>
      <c r="L126" s="3">
        <v>112</v>
      </c>
      <c r="M126" s="3">
        <v>142.80000000000001</v>
      </c>
      <c r="N126" s="3">
        <v>121.6</v>
      </c>
      <c r="O126" s="3">
        <v>136.9</v>
      </c>
      <c r="P126" s="3">
        <v>138.19999999999999</v>
      </c>
      <c r="Q126" s="3">
        <v>142.69999999999999</v>
      </c>
      <c r="R126" s="3">
        <v>127.6</v>
      </c>
      <c r="S126" s="3">
        <v>121.1</v>
      </c>
      <c r="T126" s="3">
        <v>126.6</v>
      </c>
      <c r="U126" s="3">
        <v>125.5</v>
      </c>
      <c r="V126" s="3">
        <f t="shared" si="14"/>
        <v>125.5</v>
      </c>
      <c r="W126" s="3">
        <v>115.5</v>
      </c>
      <c r="X126" s="3">
        <v>123.2</v>
      </c>
      <c r="Y126" s="3">
        <v>120.6</v>
      </c>
      <c r="Z126" s="3">
        <v>112.3</v>
      </c>
      <c r="AA126" s="3">
        <v>119.9</v>
      </c>
      <c r="AB126" s="3">
        <v>129.30000000000001</v>
      </c>
      <c r="AC126" s="3">
        <v>118.8</v>
      </c>
      <c r="AD126" s="3">
        <v>119.6</v>
      </c>
      <c r="AE126" s="3">
        <v>128.1</v>
      </c>
      <c r="AF126">
        <f t="shared" si="15"/>
        <v>1787.0000000000002</v>
      </c>
      <c r="AG126">
        <f t="shared" si="16"/>
        <v>375.29999999999995</v>
      </c>
      <c r="AH126">
        <f t="shared" si="17"/>
        <v>227.8</v>
      </c>
      <c r="AI126">
        <f t="shared" si="18"/>
        <v>378</v>
      </c>
      <c r="AJ126">
        <f t="shared" si="19"/>
        <v>239.39999999999998</v>
      </c>
      <c r="AK126">
        <f t="shared" si="20"/>
        <v>382.20000000000005</v>
      </c>
    </row>
    <row r="127" spans="1:37" x14ac:dyDescent="0.25">
      <c r="A127" s="6" t="s">
        <v>34</v>
      </c>
      <c r="B127" s="6">
        <v>2016</v>
      </c>
      <c r="C127" s="6" t="s">
        <v>39</v>
      </c>
      <c r="D127" s="3">
        <v>127.7</v>
      </c>
      <c r="E127" s="3">
        <v>140.5</v>
      </c>
      <c r="F127" s="3">
        <v>128.30000000000001</v>
      </c>
      <c r="G127" s="3">
        <v>132.6</v>
      </c>
      <c r="H127" s="3">
        <v>115.5</v>
      </c>
      <c r="I127" s="3">
        <v>136.5</v>
      </c>
      <c r="J127" s="3">
        <v>159.69999999999999</v>
      </c>
      <c r="K127" s="3">
        <v>174.3</v>
      </c>
      <c r="L127" s="3">
        <v>109.9</v>
      </c>
      <c r="M127" s="3">
        <v>136.30000000000001</v>
      </c>
      <c r="N127" s="3">
        <v>124.4</v>
      </c>
      <c r="O127" s="3">
        <v>138.1</v>
      </c>
      <c r="P127" s="3">
        <v>136.80000000000001</v>
      </c>
      <c r="Q127" s="3">
        <v>138.69999999999999</v>
      </c>
      <c r="R127" s="3">
        <v>132.9</v>
      </c>
      <c r="S127" s="3">
        <v>127.2</v>
      </c>
      <c r="T127" s="3">
        <v>132</v>
      </c>
      <c r="U127" s="3">
        <v>125.5</v>
      </c>
      <c r="V127" s="3">
        <f t="shared" si="14"/>
        <v>125.5</v>
      </c>
      <c r="W127" s="3">
        <v>123.3</v>
      </c>
      <c r="X127" s="3">
        <v>126.4</v>
      </c>
      <c r="Y127" s="3">
        <v>124.1</v>
      </c>
      <c r="Z127" s="3">
        <v>114.2</v>
      </c>
      <c r="AA127" s="3">
        <v>121.7</v>
      </c>
      <c r="AB127" s="3">
        <v>129.69999999999999</v>
      </c>
      <c r="AC127" s="3">
        <v>119.4</v>
      </c>
      <c r="AD127" s="3">
        <v>121.5</v>
      </c>
      <c r="AE127" s="3">
        <v>130.1</v>
      </c>
      <c r="AF127">
        <f t="shared" si="15"/>
        <v>1760.6</v>
      </c>
      <c r="AG127">
        <f t="shared" si="16"/>
        <v>392.1</v>
      </c>
      <c r="AH127">
        <f t="shared" si="17"/>
        <v>237.5</v>
      </c>
      <c r="AI127">
        <f t="shared" si="18"/>
        <v>381.6</v>
      </c>
      <c r="AJ127">
        <f t="shared" si="19"/>
        <v>243.5</v>
      </c>
      <c r="AK127">
        <f t="shared" si="20"/>
        <v>381.9</v>
      </c>
    </row>
    <row r="128" spans="1:37" x14ac:dyDescent="0.25">
      <c r="A128" s="6" t="s">
        <v>30</v>
      </c>
      <c r="B128" s="6">
        <v>2016</v>
      </c>
      <c r="C128" s="6" t="s">
        <v>40</v>
      </c>
      <c r="D128" s="3">
        <v>129.30000000000001</v>
      </c>
      <c r="E128" s="3">
        <v>139.5</v>
      </c>
      <c r="F128" s="3">
        <v>129.6</v>
      </c>
      <c r="G128" s="3">
        <v>134.5</v>
      </c>
      <c r="H128" s="3">
        <v>119.5</v>
      </c>
      <c r="I128" s="3">
        <v>138.5</v>
      </c>
      <c r="J128" s="3">
        <v>158.19999999999999</v>
      </c>
      <c r="K128" s="3">
        <v>171.8</v>
      </c>
      <c r="L128" s="3">
        <v>110.3</v>
      </c>
      <c r="M128" s="3">
        <v>134.30000000000001</v>
      </c>
      <c r="N128" s="3">
        <v>127.3</v>
      </c>
      <c r="O128" s="3">
        <v>139.9</v>
      </c>
      <c r="P128" s="3">
        <v>137.6</v>
      </c>
      <c r="Q128" s="3">
        <v>138</v>
      </c>
      <c r="R128" s="3">
        <v>137.19999999999999</v>
      </c>
      <c r="S128" s="3">
        <v>132.19999999999999</v>
      </c>
      <c r="T128" s="3">
        <v>136.5</v>
      </c>
      <c r="U128" s="3" t="s">
        <v>32</v>
      </c>
      <c r="V128" s="3">
        <f t="shared" si="14"/>
        <v>126.4</v>
      </c>
      <c r="W128" s="3">
        <v>128.19999999999999</v>
      </c>
      <c r="X128" s="3">
        <v>130</v>
      </c>
      <c r="Y128" s="3">
        <v>126.7</v>
      </c>
      <c r="Z128" s="3">
        <v>116.4</v>
      </c>
      <c r="AA128" s="3">
        <v>125.2</v>
      </c>
      <c r="AB128" s="3">
        <v>130.80000000000001</v>
      </c>
      <c r="AC128" s="3">
        <v>120.9</v>
      </c>
      <c r="AD128" s="3">
        <v>123.8</v>
      </c>
      <c r="AE128" s="3">
        <v>133</v>
      </c>
      <c r="AF128">
        <f t="shared" si="15"/>
        <v>1770.2999999999997</v>
      </c>
      <c r="AG128">
        <f t="shared" si="16"/>
        <v>405.9</v>
      </c>
      <c r="AH128">
        <f t="shared" si="17"/>
        <v>244.6</v>
      </c>
      <c r="AI128">
        <f t="shared" si="18"/>
        <v>387.2</v>
      </c>
      <c r="AJ128">
        <f t="shared" si="19"/>
        <v>247.60000000000002</v>
      </c>
      <c r="AK128">
        <f t="shared" si="20"/>
        <v>387</v>
      </c>
    </row>
    <row r="129" spans="1:37" x14ac:dyDescent="0.25">
      <c r="A129" s="6" t="s">
        <v>33</v>
      </c>
      <c r="B129" s="6">
        <v>2016</v>
      </c>
      <c r="C129" s="6" t="s">
        <v>40</v>
      </c>
      <c r="D129" s="3">
        <v>126.8</v>
      </c>
      <c r="E129" s="3">
        <v>144.19999999999999</v>
      </c>
      <c r="F129" s="3">
        <v>136.6</v>
      </c>
      <c r="G129" s="3">
        <v>131.80000000000001</v>
      </c>
      <c r="H129" s="3">
        <v>111</v>
      </c>
      <c r="I129" s="3">
        <v>137</v>
      </c>
      <c r="J129" s="3">
        <v>179.5</v>
      </c>
      <c r="K129" s="3">
        <v>188.4</v>
      </c>
      <c r="L129" s="3">
        <v>113.3</v>
      </c>
      <c r="M129" s="3">
        <v>143.9</v>
      </c>
      <c r="N129" s="3">
        <v>121.7</v>
      </c>
      <c r="O129" s="3">
        <v>137.5</v>
      </c>
      <c r="P129" s="3">
        <v>139.80000000000001</v>
      </c>
      <c r="Q129" s="3">
        <v>142.9</v>
      </c>
      <c r="R129" s="3">
        <v>127.9</v>
      </c>
      <c r="S129" s="3">
        <v>121.1</v>
      </c>
      <c r="T129" s="3">
        <v>126.9</v>
      </c>
      <c r="U129" s="3">
        <v>126.4</v>
      </c>
      <c r="V129" s="3">
        <f t="shared" si="14"/>
        <v>126.4</v>
      </c>
      <c r="W129" s="3">
        <v>115.5</v>
      </c>
      <c r="X129" s="3">
        <v>123.5</v>
      </c>
      <c r="Y129" s="3">
        <v>120.9</v>
      </c>
      <c r="Z129" s="3">
        <v>111.7</v>
      </c>
      <c r="AA129" s="3">
        <v>120.3</v>
      </c>
      <c r="AB129" s="3">
        <v>130.80000000000001</v>
      </c>
      <c r="AC129" s="3">
        <v>120</v>
      </c>
      <c r="AD129" s="3">
        <v>119.9</v>
      </c>
      <c r="AE129" s="3">
        <v>129</v>
      </c>
      <c r="AF129">
        <f t="shared" si="15"/>
        <v>1811.5000000000002</v>
      </c>
      <c r="AG129">
        <f t="shared" si="16"/>
        <v>375.9</v>
      </c>
      <c r="AH129">
        <f t="shared" si="17"/>
        <v>227.2</v>
      </c>
      <c r="AI129">
        <f t="shared" si="18"/>
        <v>380.70000000000005</v>
      </c>
      <c r="AJ129">
        <f t="shared" si="19"/>
        <v>240.9</v>
      </c>
      <c r="AK129">
        <f t="shared" si="20"/>
        <v>383.1</v>
      </c>
    </row>
    <row r="130" spans="1:37" x14ac:dyDescent="0.25">
      <c r="A130" s="6" t="s">
        <v>34</v>
      </c>
      <c r="B130" s="6">
        <v>2016</v>
      </c>
      <c r="C130" s="6" t="s">
        <v>40</v>
      </c>
      <c r="D130" s="3">
        <v>128.5</v>
      </c>
      <c r="E130" s="3">
        <v>141.19999999999999</v>
      </c>
      <c r="F130" s="3">
        <v>132.30000000000001</v>
      </c>
      <c r="G130" s="3">
        <v>133.5</v>
      </c>
      <c r="H130" s="3">
        <v>116.4</v>
      </c>
      <c r="I130" s="3">
        <v>137.80000000000001</v>
      </c>
      <c r="J130" s="3">
        <v>165.4</v>
      </c>
      <c r="K130" s="3">
        <v>177.4</v>
      </c>
      <c r="L130" s="3">
        <v>111.3</v>
      </c>
      <c r="M130" s="3">
        <v>137.5</v>
      </c>
      <c r="N130" s="3">
        <v>125</v>
      </c>
      <c r="O130" s="3">
        <v>138.80000000000001</v>
      </c>
      <c r="P130" s="3">
        <v>138.4</v>
      </c>
      <c r="Q130" s="3">
        <v>139.30000000000001</v>
      </c>
      <c r="R130" s="3">
        <v>133.5</v>
      </c>
      <c r="S130" s="3">
        <v>127.6</v>
      </c>
      <c r="T130" s="3">
        <v>132.69999999999999</v>
      </c>
      <c r="U130" s="3">
        <v>126.4</v>
      </c>
      <c r="V130" s="3">
        <f t="shared" ref="V130:V193" si="21">IF(U130="NA",AVERAGE(U131,U132),U130)</f>
        <v>126.4</v>
      </c>
      <c r="W130" s="3">
        <v>123.4</v>
      </c>
      <c r="X130" s="3">
        <v>126.9</v>
      </c>
      <c r="Y130" s="3">
        <v>124.5</v>
      </c>
      <c r="Z130" s="3">
        <v>113.9</v>
      </c>
      <c r="AA130" s="3">
        <v>122.4</v>
      </c>
      <c r="AB130" s="3">
        <v>130.80000000000001</v>
      </c>
      <c r="AC130" s="3">
        <v>120.5</v>
      </c>
      <c r="AD130" s="3">
        <v>121.9</v>
      </c>
      <c r="AE130" s="3">
        <v>131.1</v>
      </c>
      <c r="AF130">
        <f t="shared" si="15"/>
        <v>1783.5</v>
      </c>
      <c r="AG130">
        <f t="shared" si="16"/>
        <v>393.8</v>
      </c>
      <c r="AH130">
        <f t="shared" si="17"/>
        <v>237.3</v>
      </c>
      <c r="AI130">
        <f t="shared" si="18"/>
        <v>384.1</v>
      </c>
      <c r="AJ130">
        <f t="shared" si="19"/>
        <v>245</v>
      </c>
      <c r="AK130">
        <f t="shared" si="20"/>
        <v>383.6</v>
      </c>
    </row>
    <row r="131" spans="1:37" x14ac:dyDescent="0.25">
      <c r="A131" s="6" t="s">
        <v>30</v>
      </c>
      <c r="B131" s="6">
        <v>2016</v>
      </c>
      <c r="C131" s="6" t="s">
        <v>41</v>
      </c>
      <c r="D131" s="3">
        <v>130.1</v>
      </c>
      <c r="E131" s="3">
        <v>138.80000000000001</v>
      </c>
      <c r="F131" s="3">
        <v>130.30000000000001</v>
      </c>
      <c r="G131" s="3">
        <v>135.30000000000001</v>
      </c>
      <c r="H131" s="3">
        <v>119.9</v>
      </c>
      <c r="I131" s="3">
        <v>140.19999999999999</v>
      </c>
      <c r="J131" s="3">
        <v>156.9</v>
      </c>
      <c r="K131" s="3">
        <v>172.2</v>
      </c>
      <c r="L131" s="3">
        <v>112.1</v>
      </c>
      <c r="M131" s="3">
        <v>134.9</v>
      </c>
      <c r="N131" s="3">
        <v>128.1</v>
      </c>
      <c r="O131" s="3">
        <v>140.69999999999999</v>
      </c>
      <c r="P131" s="3">
        <v>138</v>
      </c>
      <c r="Q131" s="3">
        <v>138.9</v>
      </c>
      <c r="R131" s="3">
        <v>137.80000000000001</v>
      </c>
      <c r="S131" s="3">
        <v>133</v>
      </c>
      <c r="T131" s="3">
        <v>137.1</v>
      </c>
      <c r="U131" s="3" t="s">
        <v>32</v>
      </c>
      <c r="V131" s="3">
        <f t="shared" si="21"/>
        <v>127.3</v>
      </c>
      <c r="W131" s="3">
        <v>129.1</v>
      </c>
      <c r="X131" s="3">
        <v>130.6</v>
      </c>
      <c r="Y131" s="3">
        <v>127</v>
      </c>
      <c r="Z131" s="3">
        <v>116</v>
      </c>
      <c r="AA131" s="3">
        <v>125.5</v>
      </c>
      <c r="AB131" s="3">
        <v>131.9</v>
      </c>
      <c r="AC131" s="3">
        <v>122</v>
      </c>
      <c r="AD131" s="3">
        <v>124.2</v>
      </c>
      <c r="AE131" s="3">
        <v>133.5</v>
      </c>
      <c r="AF131">
        <f t="shared" ref="AF131:AF194" si="22">SUM(D131,E131,F131,G131,H131,I131,J131,K131,L131,M131,N131,O131,P131)</f>
        <v>1777.4999999999998</v>
      </c>
      <c r="AG131">
        <f t="shared" ref="AG131:AG194" si="23">SUM(R131,S131,T131)</f>
        <v>407.9</v>
      </c>
      <c r="AH131">
        <f t="shared" ref="AH131:AH194" si="24">SUM(W131,Z131)</f>
        <v>245.1</v>
      </c>
      <c r="AI131">
        <f t="shared" ref="AI131:AI194" si="25">SUM(V131,X131,AB131)</f>
        <v>389.79999999999995</v>
      </c>
      <c r="AJ131">
        <f t="shared" ref="AJ131:AJ194" si="26">SUM(Y131,AC131)</f>
        <v>249</v>
      </c>
      <c r="AK131">
        <f t="shared" ref="AK131:AK194" si="27">SUM(Q131,AA131,AD131)</f>
        <v>388.59999999999997</v>
      </c>
    </row>
    <row r="132" spans="1:37" x14ac:dyDescent="0.25">
      <c r="A132" s="6" t="s">
        <v>33</v>
      </c>
      <c r="B132" s="6">
        <v>2016</v>
      </c>
      <c r="C132" s="6" t="s">
        <v>41</v>
      </c>
      <c r="D132" s="3">
        <v>127.6</v>
      </c>
      <c r="E132" s="3">
        <v>140.30000000000001</v>
      </c>
      <c r="F132" s="3">
        <v>133.69999999999999</v>
      </c>
      <c r="G132" s="3">
        <v>132.19999999999999</v>
      </c>
      <c r="H132" s="3">
        <v>111.8</v>
      </c>
      <c r="I132" s="3">
        <v>135.80000000000001</v>
      </c>
      <c r="J132" s="3">
        <v>163.5</v>
      </c>
      <c r="K132" s="3">
        <v>182.3</v>
      </c>
      <c r="L132" s="3">
        <v>114.6</v>
      </c>
      <c r="M132" s="3">
        <v>144.6</v>
      </c>
      <c r="N132" s="3">
        <v>121.9</v>
      </c>
      <c r="O132" s="3">
        <v>138.1</v>
      </c>
      <c r="P132" s="3">
        <v>137.6</v>
      </c>
      <c r="Q132" s="3">
        <v>143.6</v>
      </c>
      <c r="R132" s="3">
        <v>128.30000000000001</v>
      </c>
      <c r="S132" s="3">
        <v>121.4</v>
      </c>
      <c r="T132" s="3">
        <v>127.3</v>
      </c>
      <c r="U132" s="3">
        <v>127.3</v>
      </c>
      <c r="V132" s="3">
        <f t="shared" si="21"/>
        <v>127.3</v>
      </c>
      <c r="W132" s="3">
        <v>114.7</v>
      </c>
      <c r="X132" s="3">
        <v>123.9</v>
      </c>
      <c r="Y132" s="3">
        <v>121.2</v>
      </c>
      <c r="Z132" s="3">
        <v>110.4</v>
      </c>
      <c r="AA132" s="3">
        <v>120.6</v>
      </c>
      <c r="AB132" s="3">
        <v>131.5</v>
      </c>
      <c r="AC132" s="3">
        <v>120.9</v>
      </c>
      <c r="AD132" s="3">
        <v>119.9</v>
      </c>
      <c r="AE132" s="3">
        <v>128.4</v>
      </c>
      <c r="AF132">
        <f t="shared" si="22"/>
        <v>1783.9999999999995</v>
      </c>
      <c r="AG132">
        <f t="shared" si="23"/>
        <v>377</v>
      </c>
      <c r="AH132">
        <f t="shared" si="24"/>
        <v>225.10000000000002</v>
      </c>
      <c r="AI132">
        <f t="shared" si="25"/>
        <v>382.7</v>
      </c>
      <c r="AJ132">
        <f t="shared" si="26"/>
        <v>242.10000000000002</v>
      </c>
      <c r="AK132">
        <f t="shared" si="27"/>
        <v>384.1</v>
      </c>
    </row>
    <row r="133" spans="1:37" x14ac:dyDescent="0.25">
      <c r="A133" s="6" t="s">
        <v>34</v>
      </c>
      <c r="B133" s="6">
        <v>2016</v>
      </c>
      <c r="C133" s="6" t="s">
        <v>41</v>
      </c>
      <c r="D133" s="3">
        <v>129.30000000000001</v>
      </c>
      <c r="E133" s="3">
        <v>139.30000000000001</v>
      </c>
      <c r="F133" s="3">
        <v>131.6</v>
      </c>
      <c r="G133" s="3">
        <v>134.1</v>
      </c>
      <c r="H133" s="3">
        <v>116.9</v>
      </c>
      <c r="I133" s="3">
        <v>138.1</v>
      </c>
      <c r="J133" s="3">
        <v>159.1</v>
      </c>
      <c r="K133" s="3">
        <v>175.6</v>
      </c>
      <c r="L133" s="3">
        <v>112.9</v>
      </c>
      <c r="M133" s="3">
        <v>138.1</v>
      </c>
      <c r="N133" s="3">
        <v>125.5</v>
      </c>
      <c r="O133" s="3">
        <v>139.5</v>
      </c>
      <c r="P133" s="3">
        <v>137.9</v>
      </c>
      <c r="Q133" s="3">
        <v>140.19999999999999</v>
      </c>
      <c r="R133" s="3">
        <v>134.1</v>
      </c>
      <c r="S133" s="3">
        <v>128.19999999999999</v>
      </c>
      <c r="T133" s="3">
        <v>133.19999999999999</v>
      </c>
      <c r="U133" s="3">
        <v>127.3</v>
      </c>
      <c r="V133" s="3">
        <f t="shared" si="21"/>
        <v>127.3</v>
      </c>
      <c r="W133" s="3">
        <v>123.6</v>
      </c>
      <c r="X133" s="3">
        <v>127.4</v>
      </c>
      <c r="Y133" s="3">
        <v>124.8</v>
      </c>
      <c r="Z133" s="3">
        <v>113.1</v>
      </c>
      <c r="AA133" s="3">
        <v>122.7</v>
      </c>
      <c r="AB133" s="3">
        <v>131.69999999999999</v>
      </c>
      <c r="AC133" s="3">
        <v>121.5</v>
      </c>
      <c r="AD133" s="3">
        <v>122.1</v>
      </c>
      <c r="AE133" s="3">
        <v>131.1</v>
      </c>
      <c r="AF133">
        <f t="shared" si="22"/>
        <v>1777.9</v>
      </c>
      <c r="AG133">
        <f t="shared" si="23"/>
        <v>395.49999999999994</v>
      </c>
      <c r="AH133">
        <f t="shared" si="24"/>
        <v>236.7</v>
      </c>
      <c r="AI133">
        <f t="shared" si="25"/>
        <v>386.4</v>
      </c>
      <c r="AJ133">
        <f t="shared" si="26"/>
        <v>246.3</v>
      </c>
      <c r="AK133">
        <f t="shared" si="27"/>
        <v>385</v>
      </c>
    </row>
    <row r="134" spans="1:37" x14ac:dyDescent="0.25">
      <c r="A134" s="6" t="s">
        <v>30</v>
      </c>
      <c r="B134" s="6">
        <v>2016</v>
      </c>
      <c r="C134" s="6" t="s">
        <v>42</v>
      </c>
      <c r="D134" s="3">
        <v>130.80000000000001</v>
      </c>
      <c r="E134" s="3">
        <v>138.19999999999999</v>
      </c>
      <c r="F134" s="3">
        <v>130.5</v>
      </c>
      <c r="G134" s="3">
        <v>135.5</v>
      </c>
      <c r="H134" s="3">
        <v>120.2</v>
      </c>
      <c r="I134" s="3">
        <v>139.19999999999999</v>
      </c>
      <c r="J134" s="3">
        <v>149.5</v>
      </c>
      <c r="K134" s="3">
        <v>170.4</v>
      </c>
      <c r="L134" s="3">
        <v>113.1</v>
      </c>
      <c r="M134" s="3">
        <v>135.80000000000001</v>
      </c>
      <c r="N134" s="3">
        <v>128.80000000000001</v>
      </c>
      <c r="O134" s="3">
        <v>141.5</v>
      </c>
      <c r="P134" s="3">
        <v>137.19999999999999</v>
      </c>
      <c r="Q134" s="3">
        <v>139.9</v>
      </c>
      <c r="R134" s="3">
        <v>138.5</v>
      </c>
      <c r="S134" s="3">
        <v>133.5</v>
      </c>
      <c r="T134" s="3">
        <v>137.80000000000001</v>
      </c>
      <c r="U134" s="3" t="s">
        <v>32</v>
      </c>
      <c r="V134" s="3">
        <f t="shared" si="21"/>
        <v>127.9</v>
      </c>
      <c r="W134" s="3">
        <v>129.69999999999999</v>
      </c>
      <c r="X134" s="3">
        <v>131.1</v>
      </c>
      <c r="Y134" s="3">
        <v>127.8</v>
      </c>
      <c r="Z134" s="3">
        <v>117</v>
      </c>
      <c r="AA134" s="3">
        <v>125.7</v>
      </c>
      <c r="AB134" s="3">
        <v>132.19999999999999</v>
      </c>
      <c r="AC134" s="3">
        <v>122.8</v>
      </c>
      <c r="AD134" s="3">
        <v>124.9</v>
      </c>
      <c r="AE134" s="3">
        <v>133.4</v>
      </c>
      <c r="AF134">
        <f t="shared" si="22"/>
        <v>1770.7</v>
      </c>
      <c r="AG134">
        <f t="shared" si="23"/>
        <v>409.8</v>
      </c>
      <c r="AH134">
        <f t="shared" si="24"/>
        <v>246.7</v>
      </c>
      <c r="AI134">
        <f t="shared" si="25"/>
        <v>391.2</v>
      </c>
      <c r="AJ134">
        <f t="shared" si="26"/>
        <v>250.6</v>
      </c>
      <c r="AK134">
        <f t="shared" si="27"/>
        <v>390.5</v>
      </c>
    </row>
    <row r="135" spans="1:37" x14ac:dyDescent="0.25">
      <c r="A135" s="6" t="s">
        <v>33</v>
      </c>
      <c r="B135" s="6">
        <v>2016</v>
      </c>
      <c r="C135" s="6" t="s">
        <v>42</v>
      </c>
      <c r="D135" s="3">
        <v>128.1</v>
      </c>
      <c r="E135" s="3">
        <v>137.69999999999999</v>
      </c>
      <c r="F135" s="3">
        <v>130.6</v>
      </c>
      <c r="G135" s="3">
        <v>132.6</v>
      </c>
      <c r="H135" s="3">
        <v>111.9</v>
      </c>
      <c r="I135" s="3">
        <v>132.5</v>
      </c>
      <c r="J135" s="3">
        <v>152.9</v>
      </c>
      <c r="K135" s="3">
        <v>173.6</v>
      </c>
      <c r="L135" s="3">
        <v>115.1</v>
      </c>
      <c r="M135" s="3">
        <v>144.80000000000001</v>
      </c>
      <c r="N135" s="3">
        <v>122.1</v>
      </c>
      <c r="O135" s="3">
        <v>138.80000000000001</v>
      </c>
      <c r="P135" s="3">
        <v>135.69999999999999</v>
      </c>
      <c r="Q135" s="3">
        <v>143.9</v>
      </c>
      <c r="R135" s="3">
        <v>128.69999999999999</v>
      </c>
      <c r="S135" s="3">
        <v>121.6</v>
      </c>
      <c r="T135" s="3">
        <v>127.7</v>
      </c>
      <c r="U135" s="3">
        <v>127.9</v>
      </c>
      <c r="V135" s="3">
        <f t="shared" si="21"/>
        <v>127.9</v>
      </c>
      <c r="W135" s="3">
        <v>114.8</v>
      </c>
      <c r="X135" s="3">
        <v>124.3</v>
      </c>
      <c r="Y135" s="3">
        <v>121.4</v>
      </c>
      <c r="Z135" s="3">
        <v>111.8</v>
      </c>
      <c r="AA135" s="3">
        <v>120.8</v>
      </c>
      <c r="AB135" s="3">
        <v>131.6</v>
      </c>
      <c r="AC135" s="3">
        <v>121.2</v>
      </c>
      <c r="AD135" s="3">
        <v>120.5</v>
      </c>
      <c r="AE135" s="3">
        <v>128</v>
      </c>
      <c r="AF135">
        <f t="shared" si="22"/>
        <v>1756.3999999999996</v>
      </c>
      <c r="AG135">
        <f t="shared" si="23"/>
        <v>378</v>
      </c>
      <c r="AH135">
        <f t="shared" si="24"/>
        <v>226.6</v>
      </c>
      <c r="AI135">
        <f t="shared" si="25"/>
        <v>383.79999999999995</v>
      </c>
      <c r="AJ135">
        <f t="shared" si="26"/>
        <v>242.60000000000002</v>
      </c>
      <c r="AK135">
        <f t="shared" si="27"/>
        <v>385.2</v>
      </c>
    </row>
    <row r="136" spans="1:37" x14ac:dyDescent="0.25">
      <c r="A136" s="6" t="s">
        <v>34</v>
      </c>
      <c r="B136" s="6">
        <v>2016</v>
      </c>
      <c r="C136" s="6" t="s">
        <v>42</v>
      </c>
      <c r="D136" s="3">
        <v>129.9</v>
      </c>
      <c r="E136" s="3">
        <v>138</v>
      </c>
      <c r="F136" s="3">
        <v>130.5</v>
      </c>
      <c r="G136" s="3">
        <v>134.4</v>
      </c>
      <c r="H136" s="3">
        <v>117.2</v>
      </c>
      <c r="I136" s="3">
        <v>136.1</v>
      </c>
      <c r="J136" s="3">
        <v>150.69999999999999</v>
      </c>
      <c r="K136" s="3">
        <v>171.5</v>
      </c>
      <c r="L136" s="3">
        <v>113.8</v>
      </c>
      <c r="M136" s="3">
        <v>138.80000000000001</v>
      </c>
      <c r="N136" s="3">
        <v>126</v>
      </c>
      <c r="O136" s="3">
        <v>140.19999999999999</v>
      </c>
      <c r="P136" s="3">
        <v>136.6</v>
      </c>
      <c r="Q136" s="3">
        <v>141</v>
      </c>
      <c r="R136" s="3">
        <v>134.6</v>
      </c>
      <c r="S136" s="3">
        <v>128.6</v>
      </c>
      <c r="T136" s="3">
        <v>133.80000000000001</v>
      </c>
      <c r="U136" s="3">
        <v>127.9</v>
      </c>
      <c r="V136" s="3">
        <f t="shared" si="21"/>
        <v>127.9</v>
      </c>
      <c r="W136" s="3">
        <v>124.1</v>
      </c>
      <c r="X136" s="3">
        <v>127.9</v>
      </c>
      <c r="Y136" s="3">
        <v>125.4</v>
      </c>
      <c r="Z136" s="3">
        <v>114.3</v>
      </c>
      <c r="AA136" s="3">
        <v>122.9</v>
      </c>
      <c r="AB136" s="3">
        <v>131.80000000000001</v>
      </c>
      <c r="AC136" s="3">
        <v>122.1</v>
      </c>
      <c r="AD136" s="3">
        <v>122.8</v>
      </c>
      <c r="AE136" s="3">
        <v>130.9</v>
      </c>
      <c r="AF136">
        <f t="shared" si="22"/>
        <v>1763.6999999999998</v>
      </c>
      <c r="AG136">
        <f t="shared" si="23"/>
        <v>397</v>
      </c>
      <c r="AH136">
        <f t="shared" si="24"/>
        <v>238.39999999999998</v>
      </c>
      <c r="AI136">
        <f t="shared" si="25"/>
        <v>387.6</v>
      </c>
      <c r="AJ136">
        <f t="shared" si="26"/>
        <v>247.5</v>
      </c>
      <c r="AK136">
        <f t="shared" si="27"/>
        <v>386.7</v>
      </c>
    </row>
    <row r="137" spans="1:37" x14ac:dyDescent="0.25">
      <c r="A137" s="6" t="s">
        <v>30</v>
      </c>
      <c r="B137" s="6">
        <v>2016</v>
      </c>
      <c r="C137" s="6" t="s">
        <v>43</v>
      </c>
      <c r="D137" s="3">
        <v>131.30000000000001</v>
      </c>
      <c r="E137" s="3">
        <v>137.6</v>
      </c>
      <c r="F137" s="3">
        <v>130.1</v>
      </c>
      <c r="G137" s="3">
        <v>136</v>
      </c>
      <c r="H137" s="3">
        <v>120.8</v>
      </c>
      <c r="I137" s="3">
        <v>138.4</v>
      </c>
      <c r="J137" s="3">
        <v>149.19999999999999</v>
      </c>
      <c r="K137" s="3">
        <v>170.2</v>
      </c>
      <c r="L137" s="3">
        <v>113.4</v>
      </c>
      <c r="M137" s="3">
        <v>136.30000000000001</v>
      </c>
      <c r="N137" s="3">
        <v>128.69999999999999</v>
      </c>
      <c r="O137" s="3">
        <v>142.4</v>
      </c>
      <c r="P137" s="3">
        <v>137.4</v>
      </c>
      <c r="Q137" s="3">
        <v>140.9</v>
      </c>
      <c r="R137" s="3">
        <v>139.6</v>
      </c>
      <c r="S137" s="3">
        <v>134.30000000000001</v>
      </c>
      <c r="T137" s="3">
        <v>138.80000000000001</v>
      </c>
      <c r="U137" s="3" t="s">
        <v>32</v>
      </c>
      <c r="V137" s="3">
        <f t="shared" si="21"/>
        <v>128.69999999999999</v>
      </c>
      <c r="W137" s="3">
        <v>129.80000000000001</v>
      </c>
      <c r="X137" s="3">
        <v>131.80000000000001</v>
      </c>
      <c r="Y137" s="3">
        <v>128.69999999999999</v>
      </c>
      <c r="Z137" s="3">
        <v>117.8</v>
      </c>
      <c r="AA137" s="3">
        <v>126.5</v>
      </c>
      <c r="AB137" s="3">
        <v>133</v>
      </c>
      <c r="AC137" s="3">
        <v>123</v>
      </c>
      <c r="AD137" s="3">
        <v>125.7</v>
      </c>
      <c r="AE137" s="3">
        <v>133.80000000000001</v>
      </c>
      <c r="AF137">
        <f t="shared" si="22"/>
        <v>1771.8000000000002</v>
      </c>
      <c r="AG137">
        <f t="shared" si="23"/>
        <v>412.7</v>
      </c>
      <c r="AH137">
        <f t="shared" si="24"/>
        <v>247.60000000000002</v>
      </c>
      <c r="AI137">
        <f t="shared" si="25"/>
        <v>393.5</v>
      </c>
      <c r="AJ137">
        <f t="shared" si="26"/>
        <v>251.7</v>
      </c>
      <c r="AK137">
        <f t="shared" si="27"/>
        <v>393.09999999999997</v>
      </c>
    </row>
    <row r="138" spans="1:37" x14ac:dyDescent="0.25">
      <c r="A138" s="6" t="s">
        <v>33</v>
      </c>
      <c r="B138" s="6">
        <v>2016</v>
      </c>
      <c r="C138" s="6" t="s">
        <v>43</v>
      </c>
      <c r="D138" s="3">
        <v>128.69999999999999</v>
      </c>
      <c r="E138" s="3">
        <v>138.4</v>
      </c>
      <c r="F138" s="3">
        <v>130.30000000000001</v>
      </c>
      <c r="G138" s="3">
        <v>132.69999999999999</v>
      </c>
      <c r="H138" s="3">
        <v>112.5</v>
      </c>
      <c r="I138" s="3">
        <v>130.4</v>
      </c>
      <c r="J138" s="3">
        <v>155.1</v>
      </c>
      <c r="K138" s="3">
        <v>175.7</v>
      </c>
      <c r="L138" s="3">
        <v>115.4</v>
      </c>
      <c r="M138" s="3">
        <v>145.30000000000001</v>
      </c>
      <c r="N138" s="3">
        <v>122.5</v>
      </c>
      <c r="O138" s="3">
        <v>139.6</v>
      </c>
      <c r="P138" s="3">
        <v>136.30000000000001</v>
      </c>
      <c r="Q138" s="3">
        <v>144.30000000000001</v>
      </c>
      <c r="R138" s="3">
        <v>129.1</v>
      </c>
      <c r="S138" s="3">
        <v>121.9</v>
      </c>
      <c r="T138" s="3">
        <v>128</v>
      </c>
      <c r="U138" s="3">
        <v>128.69999999999999</v>
      </c>
      <c r="V138" s="3">
        <f t="shared" si="21"/>
        <v>128.69999999999999</v>
      </c>
      <c r="W138" s="3">
        <v>115.2</v>
      </c>
      <c r="X138" s="3">
        <v>124.5</v>
      </c>
      <c r="Y138" s="3">
        <v>121.8</v>
      </c>
      <c r="Z138" s="3">
        <v>112.8</v>
      </c>
      <c r="AA138" s="3">
        <v>121.2</v>
      </c>
      <c r="AB138" s="3">
        <v>131.9</v>
      </c>
      <c r="AC138" s="3">
        <v>120.8</v>
      </c>
      <c r="AD138" s="3">
        <v>120.9</v>
      </c>
      <c r="AE138" s="3">
        <v>128.6</v>
      </c>
      <c r="AF138">
        <f t="shared" si="22"/>
        <v>1762.8999999999999</v>
      </c>
      <c r="AG138">
        <f t="shared" si="23"/>
        <v>379</v>
      </c>
      <c r="AH138">
        <f t="shared" si="24"/>
        <v>228</v>
      </c>
      <c r="AI138">
        <f t="shared" si="25"/>
        <v>385.1</v>
      </c>
      <c r="AJ138">
        <f t="shared" si="26"/>
        <v>242.6</v>
      </c>
      <c r="AK138">
        <f t="shared" si="27"/>
        <v>386.4</v>
      </c>
    </row>
    <row r="139" spans="1:37" x14ac:dyDescent="0.25">
      <c r="A139" s="6" t="s">
        <v>34</v>
      </c>
      <c r="B139" s="6">
        <v>2016</v>
      </c>
      <c r="C139" s="6" t="s">
        <v>43</v>
      </c>
      <c r="D139" s="3">
        <v>130.5</v>
      </c>
      <c r="E139" s="3">
        <v>137.9</v>
      </c>
      <c r="F139" s="3">
        <v>130.19999999999999</v>
      </c>
      <c r="G139" s="3">
        <v>134.80000000000001</v>
      </c>
      <c r="H139" s="3">
        <v>117.8</v>
      </c>
      <c r="I139" s="3">
        <v>134.69999999999999</v>
      </c>
      <c r="J139" s="3">
        <v>151.19999999999999</v>
      </c>
      <c r="K139" s="3">
        <v>172.1</v>
      </c>
      <c r="L139" s="3">
        <v>114.1</v>
      </c>
      <c r="M139" s="3">
        <v>139.30000000000001</v>
      </c>
      <c r="N139" s="3">
        <v>126.1</v>
      </c>
      <c r="O139" s="3">
        <v>141.1</v>
      </c>
      <c r="P139" s="3">
        <v>137</v>
      </c>
      <c r="Q139" s="3">
        <v>141.80000000000001</v>
      </c>
      <c r="R139" s="3">
        <v>135.5</v>
      </c>
      <c r="S139" s="3">
        <v>129.1</v>
      </c>
      <c r="T139" s="3">
        <v>134.5</v>
      </c>
      <c r="U139" s="3">
        <v>128.69999999999999</v>
      </c>
      <c r="V139" s="3">
        <f t="shared" si="21"/>
        <v>128.69999999999999</v>
      </c>
      <c r="W139" s="3">
        <v>124.3</v>
      </c>
      <c r="X139" s="3">
        <v>128.4</v>
      </c>
      <c r="Y139" s="3">
        <v>126.1</v>
      </c>
      <c r="Z139" s="3">
        <v>115.2</v>
      </c>
      <c r="AA139" s="3">
        <v>123.5</v>
      </c>
      <c r="AB139" s="3">
        <v>132.4</v>
      </c>
      <c r="AC139" s="3">
        <v>122.1</v>
      </c>
      <c r="AD139" s="3">
        <v>123.4</v>
      </c>
      <c r="AE139" s="3">
        <v>131.4</v>
      </c>
      <c r="AF139">
        <f t="shared" si="22"/>
        <v>1766.7999999999995</v>
      </c>
      <c r="AG139">
        <f t="shared" si="23"/>
        <v>399.1</v>
      </c>
      <c r="AH139">
        <f t="shared" si="24"/>
        <v>239.5</v>
      </c>
      <c r="AI139">
        <f t="shared" si="25"/>
        <v>389.5</v>
      </c>
      <c r="AJ139">
        <f t="shared" si="26"/>
        <v>248.2</v>
      </c>
      <c r="AK139">
        <f t="shared" si="27"/>
        <v>388.70000000000005</v>
      </c>
    </row>
    <row r="140" spans="1:37" x14ac:dyDescent="0.25">
      <c r="A140" s="6" t="s">
        <v>30</v>
      </c>
      <c r="B140" s="6">
        <v>2016</v>
      </c>
      <c r="C140" s="6" t="s">
        <v>45</v>
      </c>
      <c r="D140" s="3">
        <v>132</v>
      </c>
      <c r="E140" s="3">
        <v>137.4</v>
      </c>
      <c r="F140" s="3">
        <v>130.6</v>
      </c>
      <c r="G140" s="3">
        <v>136.19999999999999</v>
      </c>
      <c r="H140" s="3">
        <v>121.1</v>
      </c>
      <c r="I140" s="3">
        <v>136.9</v>
      </c>
      <c r="J140" s="3">
        <v>141.80000000000001</v>
      </c>
      <c r="K140" s="3">
        <v>170</v>
      </c>
      <c r="L140" s="3">
        <v>113.4</v>
      </c>
      <c r="M140" s="3">
        <v>136.80000000000001</v>
      </c>
      <c r="N140" s="3">
        <v>128.69999999999999</v>
      </c>
      <c r="O140" s="3">
        <v>143.1</v>
      </c>
      <c r="P140" s="3">
        <v>136.6</v>
      </c>
      <c r="Q140" s="3">
        <v>141.19999999999999</v>
      </c>
      <c r="R140" s="3">
        <v>139.9</v>
      </c>
      <c r="S140" s="3">
        <v>134.5</v>
      </c>
      <c r="T140" s="3">
        <v>139.19999999999999</v>
      </c>
      <c r="U140" s="3" t="s">
        <v>32</v>
      </c>
      <c r="V140" s="3">
        <f t="shared" si="21"/>
        <v>129.1</v>
      </c>
      <c r="W140" s="3">
        <v>130.30000000000001</v>
      </c>
      <c r="X140" s="3">
        <v>132.1</v>
      </c>
      <c r="Y140" s="3">
        <v>129.1</v>
      </c>
      <c r="Z140" s="3">
        <v>118.2</v>
      </c>
      <c r="AA140" s="3">
        <v>126.9</v>
      </c>
      <c r="AB140" s="3">
        <v>133.69999999999999</v>
      </c>
      <c r="AC140" s="3">
        <v>123.5</v>
      </c>
      <c r="AD140" s="3">
        <v>126.1</v>
      </c>
      <c r="AE140" s="3">
        <v>133.6</v>
      </c>
      <c r="AF140">
        <f t="shared" si="22"/>
        <v>1764.6</v>
      </c>
      <c r="AG140">
        <f t="shared" si="23"/>
        <v>413.59999999999997</v>
      </c>
      <c r="AH140">
        <f t="shared" si="24"/>
        <v>248.5</v>
      </c>
      <c r="AI140">
        <f t="shared" si="25"/>
        <v>394.9</v>
      </c>
      <c r="AJ140">
        <f t="shared" si="26"/>
        <v>252.6</v>
      </c>
      <c r="AK140">
        <f t="shared" si="27"/>
        <v>394.20000000000005</v>
      </c>
    </row>
    <row r="141" spans="1:37" x14ac:dyDescent="0.25">
      <c r="A141" s="6" t="s">
        <v>33</v>
      </c>
      <c r="B141" s="6">
        <v>2016</v>
      </c>
      <c r="C141" s="6" t="s">
        <v>45</v>
      </c>
      <c r="D141" s="3">
        <v>130.19999999999999</v>
      </c>
      <c r="E141" s="3">
        <v>138.5</v>
      </c>
      <c r="F141" s="3">
        <v>134.1</v>
      </c>
      <c r="G141" s="3">
        <v>132.9</v>
      </c>
      <c r="H141" s="3">
        <v>112.6</v>
      </c>
      <c r="I141" s="3">
        <v>130.80000000000001</v>
      </c>
      <c r="J141" s="3">
        <v>142</v>
      </c>
      <c r="K141" s="3">
        <v>174.9</v>
      </c>
      <c r="L141" s="3">
        <v>115.6</v>
      </c>
      <c r="M141" s="3">
        <v>145.4</v>
      </c>
      <c r="N141" s="3">
        <v>122.7</v>
      </c>
      <c r="O141" s="3">
        <v>140.30000000000001</v>
      </c>
      <c r="P141" s="3">
        <v>135.19999999999999</v>
      </c>
      <c r="Q141" s="3">
        <v>144.30000000000001</v>
      </c>
      <c r="R141" s="3">
        <v>129.6</v>
      </c>
      <c r="S141" s="3">
        <v>122.1</v>
      </c>
      <c r="T141" s="3">
        <v>128.5</v>
      </c>
      <c r="U141" s="3">
        <v>129.1</v>
      </c>
      <c r="V141" s="3">
        <f t="shared" si="21"/>
        <v>129.1</v>
      </c>
      <c r="W141" s="3">
        <v>116.2</v>
      </c>
      <c r="X141" s="3">
        <v>124.7</v>
      </c>
      <c r="Y141" s="3">
        <v>122.1</v>
      </c>
      <c r="Z141" s="3">
        <v>113.4</v>
      </c>
      <c r="AA141" s="3">
        <v>121.7</v>
      </c>
      <c r="AB141" s="3">
        <v>132.1</v>
      </c>
      <c r="AC141" s="3">
        <v>121.3</v>
      </c>
      <c r="AD141" s="3">
        <v>121.3</v>
      </c>
      <c r="AE141" s="3">
        <v>128.5</v>
      </c>
      <c r="AF141">
        <f t="shared" si="22"/>
        <v>1755.2</v>
      </c>
      <c r="AG141">
        <f t="shared" si="23"/>
        <v>380.2</v>
      </c>
      <c r="AH141">
        <f t="shared" si="24"/>
        <v>229.60000000000002</v>
      </c>
      <c r="AI141">
        <f t="shared" si="25"/>
        <v>385.9</v>
      </c>
      <c r="AJ141">
        <f t="shared" si="26"/>
        <v>243.39999999999998</v>
      </c>
      <c r="AK141">
        <f t="shared" si="27"/>
        <v>387.3</v>
      </c>
    </row>
    <row r="142" spans="1:37" x14ac:dyDescent="0.25">
      <c r="A142" s="6" t="s">
        <v>34</v>
      </c>
      <c r="B142" s="6">
        <v>2016</v>
      </c>
      <c r="C142" s="6" t="s">
        <v>45</v>
      </c>
      <c r="D142" s="3">
        <v>131.4</v>
      </c>
      <c r="E142" s="3">
        <v>137.80000000000001</v>
      </c>
      <c r="F142" s="3">
        <v>132</v>
      </c>
      <c r="G142" s="3">
        <v>135</v>
      </c>
      <c r="H142" s="3">
        <v>118</v>
      </c>
      <c r="I142" s="3">
        <v>134.1</v>
      </c>
      <c r="J142" s="3">
        <v>141.9</v>
      </c>
      <c r="K142" s="3">
        <v>171.7</v>
      </c>
      <c r="L142" s="3">
        <v>114.1</v>
      </c>
      <c r="M142" s="3">
        <v>139.69999999999999</v>
      </c>
      <c r="N142" s="3">
        <v>126.2</v>
      </c>
      <c r="O142" s="3">
        <v>141.80000000000001</v>
      </c>
      <c r="P142" s="3">
        <v>136.1</v>
      </c>
      <c r="Q142" s="3">
        <v>142</v>
      </c>
      <c r="R142" s="3">
        <v>135.80000000000001</v>
      </c>
      <c r="S142" s="3">
        <v>129.30000000000001</v>
      </c>
      <c r="T142" s="3">
        <v>135</v>
      </c>
      <c r="U142" s="3">
        <v>129.1</v>
      </c>
      <c r="V142" s="3">
        <f t="shared" si="21"/>
        <v>129.1</v>
      </c>
      <c r="W142" s="3">
        <v>125</v>
      </c>
      <c r="X142" s="3">
        <v>128.6</v>
      </c>
      <c r="Y142" s="3">
        <v>126.4</v>
      </c>
      <c r="Z142" s="3">
        <v>115.7</v>
      </c>
      <c r="AA142" s="3">
        <v>124</v>
      </c>
      <c r="AB142" s="3">
        <v>132.80000000000001</v>
      </c>
      <c r="AC142" s="3">
        <v>122.6</v>
      </c>
      <c r="AD142" s="3">
        <v>123.8</v>
      </c>
      <c r="AE142" s="3">
        <v>131.19999999999999</v>
      </c>
      <c r="AF142">
        <f t="shared" si="22"/>
        <v>1759.8</v>
      </c>
      <c r="AG142">
        <f t="shared" si="23"/>
        <v>400.1</v>
      </c>
      <c r="AH142">
        <f t="shared" si="24"/>
        <v>240.7</v>
      </c>
      <c r="AI142">
        <f t="shared" si="25"/>
        <v>390.5</v>
      </c>
      <c r="AJ142">
        <f t="shared" si="26"/>
        <v>249</v>
      </c>
      <c r="AK142">
        <f t="shared" si="27"/>
        <v>389.8</v>
      </c>
    </row>
    <row r="143" spans="1:37" x14ac:dyDescent="0.25">
      <c r="A143" s="6" t="s">
        <v>30</v>
      </c>
      <c r="B143" s="6">
        <v>2016</v>
      </c>
      <c r="C143" s="6" t="s">
        <v>46</v>
      </c>
      <c r="D143" s="3">
        <v>132.6</v>
      </c>
      <c r="E143" s="3">
        <v>137.30000000000001</v>
      </c>
      <c r="F143" s="3">
        <v>131.6</v>
      </c>
      <c r="G143" s="3">
        <v>136.30000000000001</v>
      </c>
      <c r="H143" s="3">
        <v>121.6</v>
      </c>
      <c r="I143" s="3">
        <v>135.6</v>
      </c>
      <c r="J143" s="3">
        <v>127.5</v>
      </c>
      <c r="K143" s="3">
        <v>167.9</v>
      </c>
      <c r="L143" s="3">
        <v>113.8</v>
      </c>
      <c r="M143" s="3">
        <v>137.5</v>
      </c>
      <c r="N143" s="3">
        <v>129.1</v>
      </c>
      <c r="O143" s="3">
        <v>143.6</v>
      </c>
      <c r="P143" s="3">
        <v>134.69999999999999</v>
      </c>
      <c r="Q143" s="3">
        <v>142.4</v>
      </c>
      <c r="R143" s="3">
        <v>140.4</v>
      </c>
      <c r="S143" s="3">
        <v>135.19999999999999</v>
      </c>
      <c r="T143" s="3">
        <v>139.69999999999999</v>
      </c>
      <c r="U143" s="3" t="s">
        <v>32</v>
      </c>
      <c r="V143" s="3">
        <f t="shared" si="21"/>
        <v>128.5</v>
      </c>
      <c r="W143" s="3">
        <v>132</v>
      </c>
      <c r="X143" s="3">
        <v>132.9</v>
      </c>
      <c r="Y143" s="3">
        <v>129.69999999999999</v>
      </c>
      <c r="Z143" s="3">
        <v>118.6</v>
      </c>
      <c r="AA143" s="3">
        <v>127.3</v>
      </c>
      <c r="AB143" s="3">
        <v>134.19999999999999</v>
      </c>
      <c r="AC143" s="3">
        <v>121.9</v>
      </c>
      <c r="AD143" s="3">
        <v>126.3</v>
      </c>
      <c r="AE143" s="3">
        <v>132.80000000000001</v>
      </c>
      <c r="AF143">
        <f t="shared" si="22"/>
        <v>1749.1</v>
      </c>
      <c r="AG143">
        <f t="shared" si="23"/>
        <v>415.3</v>
      </c>
      <c r="AH143">
        <f t="shared" si="24"/>
        <v>250.6</v>
      </c>
      <c r="AI143">
        <f t="shared" si="25"/>
        <v>395.59999999999997</v>
      </c>
      <c r="AJ143">
        <f t="shared" si="26"/>
        <v>251.6</v>
      </c>
      <c r="AK143">
        <f t="shared" si="27"/>
        <v>396</v>
      </c>
    </row>
    <row r="144" spans="1:37" x14ac:dyDescent="0.25">
      <c r="A144" s="6" t="s">
        <v>33</v>
      </c>
      <c r="B144" s="6">
        <v>2016</v>
      </c>
      <c r="C144" s="6" t="s">
        <v>46</v>
      </c>
      <c r="D144" s="3">
        <v>131.6</v>
      </c>
      <c r="E144" s="3">
        <v>138.19999999999999</v>
      </c>
      <c r="F144" s="3">
        <v>134.9</v>
      </c>
      <c r="G144" s="3">
        <v>133.1</v>
      </c>
      <c r="H144" s="3">
        <v>113.5</v>
      </c>
      <c r="I144" s="3">
        <v>129.30000000000001</v>
      </c>
      <c r="J144" s="3">
        <v>121.1</v>
      </c>
      <c r="K144" s="3">
        <v>170.3</v>
      </c>
      <c r="L144" s="3">
        <v>115.5</v>
      </c>
      <c r="M144" s="3">
        <v>145.5</v>
      </c>
      <c r="N144" s="3">
        <v>123.1</v>
      </c>
      <c r="O144" s="3">
        <v>140.9</v>
      </c>
      <c r="P144" s="3">
        <v>132.80000000000001</v>
      </c>
      <c r="Q144" s="3">
        <v>145</v>
      </c>
      <c r="R144" s="3">
        <v>130</v>
      </c>
      <c r="S144" s="3">
        <v>122.2</v>
      </c>
      <c r="T144" s="3">
        <v>128.80000000000001</v>
      </c>
      <c r="U144" s="3">
        <v>128.5</v>
      </c>
      <c r="V144" s="3">
        <f t="shared" si="21"/>
        <v>128.5</v>
      </c>
      <c r="W144" s="3">
        <v>117.8</v>
      </c>
      <c r="X144" s="3">
        <v>125</v>
      </c>
      <c r="Y144" s="3">
        <v>122.3</v>
      </c>
      <c r="Z144" s="3">
        <v>113.7</v>
      </c>
      <c r="AA144" s="3">
        <v>121.8</v>
      </c>
      <c r="AB144" s="3">
        <v>132.30000000000001</v>
      </c>
      <c r="AC144" s="3">
        <v>119.9</v>
      </c>
      <c r="AD144" s="3">
        <v>121.4</v>
      </c>
      <c r="AE144" s="3">
        <v>127.6</v>
      </c>
      <c r="AF144">
        <f t="shared" si="22"/>
        <v>1729.8</v>
      </c>
      <c r="AG144">
        <f t="shared" si="23"/>
        <v>381</v>
      </c>
      <c r="AH144">
        <f t="shared" si="24"/>
        <v>231.5</v>
      </c>
      <c r="AI144">
        <f t="shared" si="25"/>
        <v>385.8</v>
      </c>
      <c r="AJ144">
        <f t="shared" si="26"/>
        <v>242.2</v>
      </c>
      <c r="AK144">
        <f t="shared" si="27"/>
        <v>388.20000000000005</v>
      </c>
    </row>
    <row r="145" spans="1:37" x14ac:dyDescent="0.25">
      <c r="A145" s="6" t="s">
        <v>34</v>
      </c>
      <c r="B145" s="6">
        <v>2016</v>
      </c>
      <c r="C145" s="6" t="s">
        <v>46</v>
      </c>
      <c r="D145" s="3">
        <v>132.30000000000001</v>
      </c>
      <c r="E145" s="3">
        <v>137.6</v>
      </c>
      <c r="F145" s="3">
        <v>132.9</v>
      </c>
      <c r="G145" s="3">
        <v>135.1</v>
      </c>
      <c r="H145" s="3">
        <v>118.6</v>
      </c>
      <c r="I145" s="3">
        <v>132.69999999999999</v>
      </c>
      <c r="J145" s="3">
        <v>125.3</v>
      </c>
      <c r="K145" s="3">
        <v>168.7</v>
      </c>
      <c r="L145" s="3">
        <v>114.4</v>
      </c>
      <c r="M145" s="3">
        <v>140.19999999999999</v>
      </c>
      <c r="N145" s="3">
        <v>126.6</v>
      </c>
      <c r="O145" s="3">
        <v>142.30000000000001</v>
      </c>
      <c r="P145" s="3">
        <v>134</v>
      </c>
      <c r="Q145" s="3">
        <v>143.1</v>
      </c>
      <c r="R145" s="3">
        <v>136.30000000000001</v>
      </c>
      <c r="S145" s="3">
        <v>129.80000000000001</v>
      </c>
      <c r="T145" s="3">
        <v>135.4</v>
      </c>
      <c r="U145" s="3">
        <v>128.5</v>
      </c>
      <c r="V145" s="3">
        <f t="shared" si="21"/>
        <v>128.5</v>
      </c>
      <c r="W145" s="3">
        <v>126.6</v>
      </c>
      <c r="X145" s="3">
        <v>129.19999999999999</v>
      </c>
      <c r="Y145" s="3">
        <v>126.9</v>
      </c>
      <c r="Z145" s="3">
        <v>116</v>
      </c>
      <c r="AA145" s="3">
        <v>124.2</v>
      </c>
      <c r="AB145" s="3">
        <v>133.1</v>
      </c>
      <c r="AC145" s="3">
        <v>121.1</v>
      </c>
      <c r="AD145" s="3">
        <v>123.9</v>
      </c>
      <c r="AE145" s="3">
        <v>130.4</v>
      </c>
      <c r="AF145">
        <f t="shared" si="22"/>
        <v>1740.7</v>
      </c>
      <c r="AG145">
        <f t="shared" si="23"/>
        <v>401.5</v>
      </c>
      <c r="AH145">
        <f t="shared" si="24"/>
        <v>242.6</v>
      </c>
      <c r="AI145">
        <f t="shared" si="25"/>
        <v>390.79999999999995</v>
      </c>
      <c r="AJ145">
        <f t="shared" si="26"/>
        <v>248</v>
      </c>
      <c r="AK145">
        <f t="shared" si="27"/>
        <v>391.20000000000005</v>
      </c>
    </row>
    <row r="146" spans="1:37" x14ac:dyDescent="0.25">
      <c r="A146" s="6" t="s">
        <v>30</v>
      </c>
      <c r="B146" s="6">
        <v>2017</v>
      </c>
      <c r="C146" s="6" t="s">
        <v>31</v>
      </c>
      <c r="D146" s="3">
        <v>133.1</v>
      </c>
      <c r="E146" s="3">
        <v>137.80000000000001</v>
      </c>
      <c r="F146" s="3">
        <v>131.9</v>
      </c>
      <c r="G146" s="3">
        <v>136.69999999999999</v>
      </c>
      <c r="H146" s="3">
        <v>122</v>
      </c>
      <c r="I146" s="3">
        <v>136</v>
      </c>
      <c r="J146" s="3">
        <v>119.8</v>
      </c>
      <c r="K146" s="3">
        <v>161.69999999999999</v>
      </c>
      <c r="L146" s="3">
        <v>114.8</v>
      </c>
      <c r="M146" s="3">
        <v>136.9</v>
      </c>
      <c r="N146" s="3">
        <v>129</v>
      </c>
      <c r="O146" s="3">
        <v>143.9</v>
      </c>
      <c r="P146" s="3">
        <v>133.69999999999999</v>
      </c>
      <c r="Q146" s="3">
        <v>143.1</v>
      </c>
      <c r="R146" s="3">
        <v>140.69999999999999</v>
      </c>
      <c r="S146" s="3">
        <v>135.80000000000001</v>
      </c>
      <c r="T146" s="3">
        <v>140</v>
      </c>
      <c r="U146" s="3" t="s">
        <v>32</v>
      </c>
      <c r="V146" s="3">
        <f t="shared" si="21"/>
        <v>129.6</v>
      </c>
      <c r="W146" s="3">
        <v>132.1</v>
      </c>
      <c r="X146" s="3">
        <v>133.19999999999999</v>
      </c>
      <c r="Y146" s="3">
        <v>129.9</v>
      </c>
      <c r="Z146" s="3">
        <v>119.1</v>
      </c>
      <c r="AA146" s="3">
        <v>127</v>
      </c>
      <c r="AB146" s="3">
        <v>134.6</v>
      </c>
      <c r="AC146" s="3">
        <v>122.3</v>
      </c>
      <c r="AD146" s="3">
        <v>126.6</v>
      </c>
      <c r="AE146" s="3">
        <v>132.4</v>
      </c>
      <c r="AF146">
        <f t="shared" si="22"/>
        <v>1737.3000000000002</v>
      </c>
      <c r="AG146">
        <f t="shared" si="23"/>
        <v>416.5</v>
      </c>
      <c r="AH146">
        <f t="shared" si="24"/>
        <v>251.2</v>
      </c>
      <c r="AI146">
        <f t="shared" si="25"/>
        <v>397.4</v>
      </c>
      <c r="AJ146">
        <f t="shared" si="26"/>
        <v>252.2</v>
      </c>
      <c r="AK146">
        <f t="shared" si="27"/>
        <v>396.70000000000005</v>
      </c>
    </row>
    <row r="147" spans="1:37" x14ac:dyDescent="0.25">
      <c r="A147" s="6" t="s">
        <v>33</v>
      </c>
      <c r="B147" s="6">
        <v>2017</v>
      </c>
      <c r="C147" s="6" t="s">
        <v>31</v>
      </c>
      <c r="D147" s="3">
        <v>132.19999999999999</v>
      </c>
      <c r="E147" s="3">
        <v>138.9</v>
      </c>
      <c r="F147" s="3">
        <v>132.6</v>
      </c>
      <c r="G147" s="3">
        <v>133.1</v>
      </c>
      <c r="H147" s="3">
        <v>114</v>
      </c>
      <c r="I147" s="3">
        <v>129.6</v>
      </c>
      <c r="J147" s="3">
        <v>118.7</v>
      </c>
      <c r="K147" s="3">
        <v>155.1</v>
      </c>
      <c r="L147" s="3">
        <v>117.3</v>
      </c>
      <c r="M147" s="3">
        <v>144.9</v>
      </c>
      <c r="N147" s="3">
        <v>123.2</v>
      </c>
      <c r="O147" s="3">
        <v>141.6</v>
      </c>
      <c r="P147" s="3">
        <v>132</v>
      </c>
      <c r="Q147" s="3">
        <v>145.6</v>
      </c>
      <c r="R147" s="3">
        <v>130.19999999999999</v>
      </c>
      <c r="S147" s="3">
        <v>122.3</v>
      </c>
      <c r="T147" s="3">
        <v>129</v>
      </c>
      <c r="U147" s="3">
        <v>129.6</v>
      </c>
      <c r="V147" s="3">
        <f t="shared" si="21"/>
        <v>129.6</v>
      </c>
      <c r="W147" s="3">
        <v>118</v>
      </c>
      <c r="X147" s="3">
        <v>125.1</v>
      </c>
      <c r="Y147" s="3">
        <v>122.6</v>
      </c>
      <c r="Z147" s="3">
        <v>115.2</v>
      </c>
      <c r="AA147" s="3">
        <v>122</v>
      </c>
      <c r="AB147" s="3">
        <v>132.4</v>
      </c>
      <c r="AC147" s="3">
        <v>120.9</v>
      </c>
      <c r="AD147" s="3">
        <v>122.1</v>
      </c>
      <c r="AE147" s="3">
        <v>127.8</v>
      </c>
      <c r="AF147">
        <f t="shared" si="22"/>
        <v>1713.2</v>
      </c>
      <c r="AG147">
        <f t="shared" si="23"/>
        <v>381.5</v>
      </c>
      <c r="AH147">
        <f t="shared" si="24"/>
        <v>233.2</v>
      </c>
      <c r="AI147">
        <f t="shared" si="25"/>
        <v>387.1</v>
      </c>
      <c r="AJ147">
        <f t="shared" si="26"/>
        <v>243.5</v>
      </c>
      <c r="AK147">
        <f t="shared" si="27"/>
        <v>389.70000000000005</v>
      </c>
    </row>
    <row r="148" spans="1:37" x14ac:dyDescent="0.25">
      <c r="A148" s="6" t="s">
        <v>34</v>
      </c>
      <c r="B148" s="6">
        <v>2017</v>
      </c>
      <c r="C148" s="6" t="s">
        <v>31</v>
      </c>
      <c r="D148" s="3">
        <v>132.80000000000001</v>
      </c>
      <c r="E148" s="3">
        <v>138.19999999999999</v>
      </c>
      <c r="F148" s="3">
        <v>132.19999999999999</v>
      </c>
      <c r="G148" s="3">
        <v>135.4</v>
      </c>
      <c r="H148" s="3">
        <v>119.1</v>
      </c>
      <c r="I148" s="3">
        <v>133</v>
      </c>
      <c r="J148" s="3">
        <v>119.4</v>
      </c>
      <c r="K148" s="3">
        <v>159.5</v>
      </c>
      <c r="L148" s="3">
        <v>115.6</v>
      </c>
      <c r="M148" s="3">
        <v>139.6</v>
      </c>
      <c r="N148" s="3">
        <v>126.6</v>
      </c>
      <c r="O148" s="3">
        <v>142.80000000000001</v>
      </c>
      <c r="P148" s="3">
        <v>133.1</v>
      </c>
      <c r="Q148" s="3">
        <v>143.80000000000001</v>
      </c>
      <c r="R148" s="3">
        <v>136.6</v>
      </c>
      <c r="S148" s="3">
        <v>130.19999999999999</v>
      </c>
      <c r="T148" s="3">
        <v>135.6</v>
      </c>
      <c r="U148" s="3">
        <v>129.6</v>
      </c>
      <c r="V148" s="3">
        <f t="shared" si="21"/>
        <v>129.6</v>
      </c>
      <c r="W148" s="3">
        <v>126.8</v>
      </c>
      <c r="X148" s="3">
        <v>129.4</v>
      </c>
      <c r="Y148" s="3">
        <v>127.1</v>
      </c>
      <c r="Z148" s="3">
        <v>117</v>
      </c>
      <c r="AA148" s="3">
        <v>124.2</v>
      </c>
      <c r="AB148" s="3">
        <v>133.30000000000001</v>
      </c>
      <c r="AC148" s="3">
        <v>121.7</v>
      </c>
      <c r="AD148" s="3">
        <v>124.4</v>
      </c>
      <c r="AE148" s="3">
        <v>130.30000000000001</v>
      </c>
      <c r="AF148">
        <f t="shared" si="22"/>
        <v>1727.2999999999995</v>
      </c>
      <c r="AG148">
        <f t="shared" si="23"/>
        <v>402.4</v>
      </c>
      <c r="AH148">
        <f t="shared" si="24"/>
        <v>243.8</v>
      </c>
      <c r="AI148">
        <f t="shared" si="25"/>
        <v>392.3</v>
      </c>
      <c r="AJ148">
        <f t="shared" si="26"/>
        <v>248.8</v>
      </c>
      <c r="AK148">
        <f t="shared" si="27"/>
        <v>392.4</v>
      </c>
    </row>
    <row r="149" spans="1:37" x14ac:dyDescent="0.25">
      <c r="A149" s="6" t="s">
        <v>30</v>
      </c>
      <c r="B149" s="6">
        <v>2017</v>
      </c>
      <c r="C149" s="6" t="s">
        <v>35</v>
      </c>
      <c r="D149" s="3">
        <v>133.30000000000001</v>
      </c>
      <c r="E149" s="3">
        <v>138.30000000000001</v>
      </c>
      <c r="F149" s="3">
        <v>129.30000000000001</v>
      </c>
      <c r="G149" s="3">
        <v>137.19999999999999</v>
      </c>
      <c r="H149" s="3">
        <v>122.1</v>
      </c>
      <c r="I149" s="3">
        <v>138.69999999999999</v>
      </c>
      <c r="J149" s="3">
        <v>119.1</v>
      </c>
      <c r="K149" s="3">
        <v>156.9</v>
      </c>
      <c r="L149" s="3">
        <v>116.2</v>
      </c>
      <c r="M149" s="3">
        <v>136</v>
      </c>
      <c r="N149" s="3">
        <v>129.4</v>
      </c>
      <c r="O149" s="3">
        <v>144.4</v>
      </c>
      <c r="P149" s="3">
        <v>133.6</v>
      </c>
      <c r="Q149" s="3">
        <v>143.69999999999999</v>
      </c>
      <c r="R149" s="3">
        <v>140.9</v>
      </c>
      <c r="S149" s="3">
        <v>135.80000000000001</v>
      </c>
      <c r="T149" s="3">
        <v>140.19999999999999</v>
      </c>
      <c r="U149" s="3" t="s">
        <v>32</v>
      </c>
      <c r="V149" s="3">
        <f t="shared" si="21"/>
        <v>130.5</v>
      </c>
      <c r="W149" s="3">
        <v>133.19999999999999</v>
      </c>
      <c r="X149" s="3">
        <v>133.6</v>
      </c>
      <c r="Y149" s="3">
        <v>130.1</v>
      </c>
      <c r="Z149" s="3">
        <v>119.5</v>
      </c>
      <c r="AA149" s="3">
        <v>127.7</v>
      </c>
      <c r="AB149" s="3">
        <v>134.9</v>
      </c>
      <c r="AC149" s="3">
        <v>123.2</v>
      </c>
      <c r="AD149" s="3">
        <v>127</v>
      </c>
      <c r="AE149" s="3">
        <v>132.6</v>
      </c>
      <c r="AF149">
        <f t="shared" si="22"/>
        <v>1734.5000000000002</v>
      </c>
      <c r="AG149">
        <f t="shared" si="23"/>
        <v>416.90000000000003</v>
      </c>
      <c r="AH149">
        <f t="shared" si="24"/>
        <v>252.7</v>
      </c>
      <c r="AI149">
        <f t="shared" si="25"/>
        <v>399</v>
      </c>
      <c r="AJ149">
        <f t="shared" si="26"/>
        <v>253.3</v>
      </c>
      <c r="AK149">
        <f t="shared" si="27"/>
        <v>398.4</v>
      </c>
    </row>
    <row r="150" spans="1:37" x14ac:dyDescent="0.25">
      <c r="A150" s="6" t="s">
        <v>33</v>
      </c>
      <c r="B150" s="6">
        <v>2017</v>
      </c>
      <c r="C150" s="6" t="s">
        <v>35</v>
      </c>
      <c r="D150" s="3">
        <v>132.80000000000001</v>
      </c>
      <c r="E150" s="3">
        <v>139.80000000000001</v>
      </c>
      <c r="F150" s="3">
        <v>129.30000000000001</v>
      </c>
      <c r="G150" s="3">
        <v>133.5</v>
      </c>
      <c r="H150" s="3">
        <v>114.3</v>
      </c>
      <c r="I150" s="3">
        <v>131.4</v>
      </c>
      <c r="J150" s="3">
        <v>120.2</v>
      </c>
      <c r="K150" s="3">
        <v>143.1</v>
      </c>
      <c r="L150" s="3">
        <v>119.5</v>
      </c>
      <c r="M150" s="3">
        <v>144</v>
      </c>
      <c r="N150" s="3">
        <v>123.4</v>
      </c>
      <c r="O150" s="3">
        <v>141.9</v>
      </c>
      <c r="P150" s="3">
        <v>132.1</v>
      </c>
      <c r="Q150" s="3">
        <v>146.30000000000001</v>
      </c>
      <c r="R150" s="3">
        <v>130.5</v>
      </c>
      <c r="S150" s="3">
        <v>122.5</v>
      </c>
      <c r="T150" s="3">
        <v>129.30000000000001</v>
      </c>
      <c r="U150" s="3">
        <v>130.5</v>
      </c>
      <c r="V150" s="3">
        <f t="shared" si="21"/>
        <v>130.5</v>
      </c>
      <c r="W150" s="3">
        <v>119.2</v>
      </c>
      <c r="X150" s="3">
        <v>125.3</v>
      </c>
      <c r="Y150" s="3">
        <v>122.9</v>
      </c>
      <c r="Z150" s="3">
        <v>115.5</v>
      </c>
      <c r="AA150" s="3">
        <v>122.2</v>
      </c>
      <c r="AB150" s="3">
        <v>132.4</v>
      </c>
      <c r="AC150" s="3">
        <v>121.7</v>
      </c>
      <c r="AD150" s="3">
        <v>122.4</v>
      </c>
      <c r="AE150" s="3">
        <v>128.19999999999999</v>
      </c>
      <c r="AF150">
        <f t="shared" si="22"/>
        <v>1705.3000000000002</v>
      </c>
      <c r="AG150">
        <f t="shared" si="23"/>
        <v>382.3</v>
      </c>
      <c r="AH150">
        <f t="shared" si="24"/>
        <v>234.7</v>
      </c>
      <c r="AI150">
        <f t="shared" si="25"/>
        <v>388.20000000000005</v>
      </c>
      <c r="AJ150">
        <f t="shared" si="26"/>
        <v>244.60000000000002</v>
      </c>
      <c r="AK150">
        <f t="shared" si="27"/>
        <v>390.9</v>
      </c>
    </row>
    <row r="151" spans="1:37" x14ac:dyDescent="0.25">
      <c r="A151" s="6" t="s">
        <v>34</v>
      </c>
      <c r="B151" s="6">
        <v>2017</v>
      </c>
      <c r="C151" s="6" t="s">
        <v>35</v>
      </c>
      <c r="D151" s="3">
        <v>133.1</v>
      </c>
      <c r="E151" s="3">
        <v>138.80000000000001</v>
      </c>
      <c r="F151" s="3">
        <v>129.30000000000001</v>
      </c>
      <c r="G151" s="3">
        <v>135.80000000000001</v>
      </c>
      <c r="H151" s="3">
        <v>119.2</v>
      </c>
      <c r="I151" s="3">
        <v>135.30000000000001</v>
      </c>
      <c r="J151" s="3">
        <v>119.5</v>
      </c>
      <c r="K151" s="3">
        <v>152.19999999999999</v>
      </c>
      <c r="L151" s="3">
        <v>117.3</v>
      </c>
      <c r="M151" s="3">
        <v>138.69999999999999</v>
      </c>
      <c r="N151" s="3">
        <v>126.9</v>
      </c>
      <c r="O151" s="3">
        <v>143.19999999999999</v>
      </c>
      <c r="P151" s="3">
        <v>133</v>
      </c>
      <c r="Q151" s="3">
        <v>144.4</v>
      </c>
      <c r="R151" s="3">
        <v>136.80000000000001</v>
      </c>
      <c r="S151" s="3">
        <v>130.30000000000001</v>
      </c>
      <c r="T151" s="3">
        <v>135.9</v>
      </c>
      <c r="U151" s="3">
        <v>130.5</v>
      </c>
      <c r="V151" s="3">
        <f t="shared" si="21"/>
        <v>130.5</v>
      </c>
      <c r="W151" s="3">
        <v>127.9</v>
      </c>
      <c r="X151" s="3">
        <v>129.69999999999999</v>
      </c>
      <c r="Y151" s="3">
        <v>127.4</v>
      </c>
      <c r="Z151" s="3">
        <v>117.4</v>
      </c>
      <c r="AA151" s="3">
        <v>124.6</v>
      </c>
      <c r="AB151" s="3">
        <v>133.4</v>
      </c>
      <c r="AC151" s="3">
        <v>122.6</v>
      </c>
      <c r="AD151" s="3">
        <v>124.8</v>
      </c>
      <c r="AE151" s="3">
        <v>130.6</v>
      </c>
      <c r="AF151">
        <f t="shared" si="22"/>
        <v>1722.3000000000002</v>
      </c>
      <c r="AG151">
        <f t="shared" si="23"/>
        <v>403</v>
      </c>
      <c r="AH151">
        <f t="shared" si="24"/>
        <v>245.3</v>
      </c>
      <c r="AI151">
        <f t="shared" si="25"/>
        <v>393.6</v>
      </c>
      <c r="AJ151">
        <f t="shared" si="26"/>
        <v>250</v>
      </c>
      <c r="AK151">
        <f t="shared" si="27"/>
        <v>393.8</v>
      </c>
    </row>
    <row r="152" spans="1:37" x14ac:dyDescent="0.25">
      <c r="A152" s="6" t="s">
        <v>30</v>
      </c>
      <c r="B152" s="6">
        <v>2017</v>
      </c>
      <c r="C152" s="6" t="s">
        <v>36</v>
      </c>
      <c r="D152" s="3">
        <v>133.6</v>
      </c>
      <c r="E152" s="3">
        <v>138.80000000000001</v>
      </c>
      <c r="F152" s="3">
        <v>128.80000000000001</v>
      </c>
      <c r="G152" s="3">
        <v>137.19999999999999</v>
      </c>
      <c r="H152" s="3">
        <v>121.6</v>
      </c>
      <c r="I152" s="3">
        <v>139.69999999999999</v>
      </c>
      <c r="J152" s="3">
        <v>119.7</v>
      </c>
      <c r="K152" s="3">
        <v>148</v>
      </c>
      <c r="L152" s="3">
        <v>116.9</v>
      </c>
      <c r="M152" s="3">
        <v>135.6</v>
      </c>
      <c r="N152" s="3">
        <v>129.80000000000001</v>
      </c>
      <c r="O152" s="3">
        <v>145.4</v>
      </c>
      <c r="P152" s="3">
        <v>133.4</v>
      </c>
      <c r="Q152" s="3">
        <v>144.19999999999999</v>
      </c>
      <c r="R152" s="3">
        <v>141.6</v>
      </c>
      <c r="S152" s="3">
        <v>136.19999999999999</v>
      </c>
      <c r="T152" s="3">
        <v>140.80000000000001</v>
      </c>
      <c r="U152" s="3" t="s">
        <v>32</v>
      </c>
      <c r="V152" s="3">
        <f t="shared" si="21"/>
        <v>131.1</v>
      </c>
      <c r="W152" s="3">
        <v>134.19999999999999</v>
      </c>
      <c r="X152" s="3">
        <v>134.1</v>
      </c>
      <c r="Y152" s="3">
        <v>130.6</v>
      </c>
      <c r="Z152" s="3">
        <v>119.8</v>
      </c>
      <c r="AA152" s="3">
        <v>128.30000000000001</v>
      </c>
      <c r="AB152" s="3">
        <v>135.19999999999999</v>
      </c>
      <c r="AC152" s="3">
        <v>123.3</v>
      </c>
      <c r="AD152" s="3">
        <v>127.4</v>
      </c>
      <c r="AE152" s="3">
        <v>132.80000000000001</v>
      </c>
      <c r="AF152">
        <f t="shared" si="22"/>
        <v>1728.5000000000002</v>
      </c>
      <c r="AG152">
        <f t="shared" si="23"/>
        <v>418.59999999999997</v>
      </c>
      <c r="AH152">
        <f t="shared" si="24"/>
        <v>254</v>
      </c>
      <c r="AI152">
        <f t="shared" si="25"/>
        <v>400.4</v>
      </c>
      <c r="AJ152">
        <f t="shared" si="26"/>
        <v>253.89999999999998</v>
      </c>
      <c r="AK152">
        <f t="shared" si="27"/>
        <v>399.9</v>
      </c>
    </row>
    <row r="153" spans="1:37" x14ac:dyDescent="0.25">
      <c r="A153" s="6" t="s">
        <v>33</v>
      </c>
      <c r="B153" s="6">
        <v>2017</v>
      </c>
      <c r="C153" s="6" t="s">
        <v>36</v>
      </c>
      <c r="D153" s="3">
        <v>132.69999999999999</v>
      </c>
      <c r="E153" s="3">
        <v>139.4</v>
      </c>
      <c r="F153" s="3">
        <v>128.4</v>
      </c>
      <c r="G153" s="3">
        <v>134.9</v>
      </c>
      <c r="H153" s="3">
        <v>114</v>
      </c>
      <c r="I153" s="3">
        <v>136.80000000000001</v>
      </c>
      <c r="J153" s="3">
        <v>122.2</v>
      </c>
      <c r="K153" s="3">
        <v>135.80000000000001</v>
      </c>
      <c r="L153" s="3">
        <v>120.3</v>
      </c>
      <c r="M153" s="3">
        <v>142.6</v>
      </c>
      <c r="N153" s="3">
        <v>123.6</v>
      </c>
      <c r="O153" s="3">
        <v>142.4</v>
      </c>
      <c r="P153" s="3">
        <v>132.6</v>
      </c>
      <c r="Q153" s="3">
        <v>147.5</v>
      </c>
      <c r="R153" s="3">
        <v>130.80000000000001</v>
      </c>
      <c r="S153" s="3">
        <v>122.8</v>
      </c>
      <c r="T153" s="3">
        <v>129.6</v>
      </c>
      <c r="U153" s="3">
        <v>131.1</v>
      </c>
      <c r="V153" s="3">
        <f t="shared" si="21"/>
        <v>131.1</v>
      </c>
      <c r="W153" s="3">
        <v>120.8</v>
      </c>
      <c r="X153" s="3">
        <v>125.6</v>
      </c>
      <c r="Y153" s="3">
        <v>123.1</v>
      </c>
      <c r="Z153" s="3">
        <v>115.6</v>
      </c>
      <c r="AA153" s="3">
        <v>122.4</v>
      </c>
      <c r="AB153" s="3">
        <v>132.80000000000001</v>
      </c>
      <c r="AC153" s="3">
        <v>121.7</v>
      </c>
      <c r="AD153" s="3">
        <v>122.6</v>
      </c>
      <c r="AE153" s="3">
        <v>128.69999999999999</v>
      </c>
      <c r="AF153">
        <f t="shared" si="22"/>
        <v>1705.6999999999998</v>
      </c>
      <c r="AG153">
        <f t="shared" si="23"/>
        <v>383.20000000000005</v>
      </c>
      <c r="AH153">
        <f t="shared" si="24"/>
        <v>236.39999999999998</v>
      </c>
      <c r="AI153">
        <f t="shared" si="25"/>
        <v>389.5</v>
      </c>
      <c r="AJ153">
        <f t="shared" si="26"/>
        <v>244.8</v>
      </c>
      <c r="AK153">
        <f t="shared" si="27"/>
        <v>392.5</v>
      </c>
    </row>
    <row r="154" spans="1:37" x14ac:dyDescent="0.25">
      <c r="A154" s="6" t="s">
        <v>34</v>
      </c>
      <c r="B154" s="6">
        <v>2017</v>
      </c>
      <c r="C154" s="6" t="s">
        <v>36</v>
      </c>
      <c r="D154" s="3">
        <v>133.30000000000001</v>
      </c>
      <c r="E154" s="3">
        <v>139</v>
      </c>
      <c r="F154" s="3">
        <v>128.6</v>
      </c>
      <c r="G154" s="3">
        <v>136.30000000000001</v>
      </c>
      <c r="H154" s="3">
        <v>118.8</v>
      </c>
      <c r="I154" s="3">
        <v>138.30000000000001</v>
      </c>
      <c r="J154" s="3">
        <v>120.5</v>
      </c>
      <c r="K154" s="3">
        <v>143.9</v>
      </c>
      <c r="L154" s="3">
        <v>118</v>
      </c>
      <c r="M154" s="3">
        <v>137.9</v>
      </c>
      <c r="N154" s="3">
        <v>127.2</v>
      </c>
      <c r="O154" s="3">
        <v>144</v>
      </c>
      <c r="P154" s="3">
        <v>133.1</v>
      </c>
      <c r="Q154" s="3">
        <v>145.1</v>
      </c>
      <c r="R154" s="3">
        <v>137.30000000000001</v>
      </c>
      <c r="S154" s="3">
        <v>130.6</v>
      </c>
      <c r="T154" s="3">
        <v>136.4</v>
      </c>
      <c r="U154" s="3">
        <v>131.1</v>
      </c>
      <c r="V154" s="3">
        <f t="shared" si="21"/>
        <v>131.1</v>
      </c>
      <c r="W154" s="3">
        <v>129.1</v>
      </c>
      <c r="X154" s="3">
        <v>130.1</v>
      </c>
      <c r="Y154" s="3">
        <v>127.8</v>
      </c>
      <c r="Z154" s="3">
        <v>117.6</v>
      </c>
      <c r="AA154" s="3">
        <v>125</v>
      </c>
      <c r="AB154" s="3">
        <v>133.80000000000001</v>
      </c>
      <c r="AC154" s="3">
        <v>122.6</v>
      </c>
      <c r="AD154" s="3">
        <v>125.1</v>
      </c>
      <c r="AE154" s="3">
        <v>130.9</v>
      </c>
      <c r="AF154">
        <f t="shared" si="22"/>
        <v>1718.9</v>
      </c>
      <c r="AG154">
        <f t="shared" si="23"/>
        <v>404.29999999999995</v>
      </c>
      <c r="AH154">
        <f t="shared" si="24"/>
        <v>246.7</v>
      </c>
      <c r="AI154">
        <f t="shared" si="25"/>
        <v>395</v>
      </c>
      <c r="AJ154">
        <f t="shared" si="26"/>
        <v>250.39999999999998</v>
      </c>
      <c r="AK154">
        <f t="shared" si="27"/>
        <v>395.20000000000005</v>
      </c>
    </row>
    <row r="155" spans="1:37" x14ac:dyDescent="0.25">
      <c r="A155" s="6" t="s">
        <v>30</v>
      </c>
      <c r="B155" s="6">
        <v>2017</v>
      </c>
      <c r="C155" s="6" t="s">
        <v>37</v>
      </c>
      <c r="D155" s="3">
        <v>133.19999999999999</v>
      </c>
      <c r="E155" s="3">
        <v>138.69999999999999</v>
      </c>
      <c r="F155" s="3">
        <v>127.1</v>
      </c>
      <c r="G155" s="3">
        <v>137.69999999999999</v>
      </c>
      <c r="H155" s="3">
        <v>121.3</v>
      </c>
      <c r="I155" s="3">
        <v>141.80000000000001</v>
      </c>
      <c r="J155" s="3">
        <v>121.5</v>
      </c>
      <c r="K155" s="3">
        <v>144.5</v>
      </c>
      <c r="L155" s="3">
        <v>117.4</v>
      </c>
      <c r="M155" s="3">
        <v>134.1</v>
      </c>
      <c r="N155" s="3">
        <v>130</v>
      </c>
      <c r="O155" s="3">
        <v>145.5</v>
      </c>
      <c r="P155" s="3">
        <v>133.5</v>
      </c>
      <c r="Q155" s="3">
        <v>144.4</v>
      </c>
      <c r="R155" s="3">
        <v>142.4</v>
      </c>
      <c r="S155" s="3">
        <v>136.80000000000001</v>
      </c>
      <c r="T155" s="3">
        <v>141.6</v>
      </c>
      <c r="U155" s="3" t="s">
        <v>32</v>
      </c>
      <c r="V155" s="3">
        <f t="shared" si="21"/>
        <v>131.69999999999999</v>
      </c>
      <c r="W155" s="3">
        <v>135</v>
      </c>
      <c r="X155" s="3">
        <v>134.30000000000001</v>
      </c>
      <c r="Y155" s="3">
        <v>131</v>
      </c>
      <c r="Z155" s="3">
        <v>119.2</v>
      </c>
      <c r="AA155" s="3">
        <v>128.30000000000001</v>
      </c>
      <c r="AB155" s="3">
        <v>135.69999999999999</v>
      </c>
      <c r="AC155" s="3">
        <v>123.7</v>
      </c>
      <c r="AD155" s="3">
        <v>127.5</v>
      </c>
      <c r="AE155" s="3">
        <v>132.9</v>
      </c>
      <c r="AF155">
        <f t="shared" si="22"/>
        <v>1726.3</v>
      </c>
      <c r="AG155">
        <f t="shared" si="23"/>
        <v>420.80000000000007</v>
      </c>
      <c r="AH155">
        <f t="shared" si="24"/>
        <v>254.2</v>
      </c>
      <c r="AI155">
        <f t="shared" si="25"/>
        <v>401.7</v>
      </c>
      <c r="AJ155">
        <f t="shared" si="26"/>
        <v>254.7</v>
      </c>
      <c r="AK155">
        <f t="shared" si="27"/>
        <v>400.20000000000005</v>
      </c>
    </row>
    <row r="156" spans="1:37" x14ac:dyDescent="0.25">
      <c r="A156" s="6" t="s">
        <v>33</v>
      </c>
      <c r="B156" s="6">
        <v>2017</v>
      </c>
      <c r="C156" s="6" t="s">
        <v>37</v>
      </c>
      <c r="D156" s="3">
        <v>132.69999999999999</v>
      </c>
      <c r="E156" s="3">
        <v>140.6</v>
      </c>
      <c r="F156" s="3">
        <v>124.5</v>
      </c>
      <c r="G156" s="3">
        <v>136.30000000000001</v>
      </c>
      <c r="H156" s="3">
        <v>113.5</v>
      </c>
      <c r="I156" s="3">
        <v>137.69999999999999</v>
      </c>
      <c r="J156" s="3">
        <v>127.1</v>
      </c>
      <c r="K156" s="3">
        <v>133.80000000000001</v>
      </c>
      <c r="L156" s="3">
        <v>120.8</v>
      </c>
      <c r="M156" s="3">
        <v>141.30000000000001</v>
      </c>
      <c r="N156" s="3">
        <v>123.8</v>
      </c>
      <c r="O156" s="3">
        <v>142.6</v>
      </c>
      <c r="P156" s="3">
        <v>133.4</v>
      </c>
      <c r="Q156" s="3">
        <v>148</v>
      </c>
      <c r="R156" s="3">
        <v>131.19999999999999</v>
      </c>
      <c r="S156" s="3">
        <v>123</v>
      </c>
      <c r="T156" s="3">
        <v>130</v>
      </c>
      <c r="U156" s="3">
        <v>131.69999999999999</v>
      </c>
      <c r="V156" s="3">
        <f t="shared" si="21"/>
        <v>131.69999999999999</v>
      </c>
      <c r="W156" s="3">
        <v>121.4</v>
      </c>
      <c r="X156" s="3">
        <v>126</v>
      </c>
      <c r="Y156" s="3">
        <v>123.4</v>
      </c>
      <c r="Z156" s="3">
        <v>114.3</v>
      </c>
      <c r="AA156" s="3">
        <v>122.6</v>
      </c>
      <c r="AB156" s="3">
        <v>133.6</v>
      </c>
      <c r="AC156" s="3">
        <v>122.2</v>
      </c>
      <c r="AD156" s="3">
        <v>122.5</v>
      </c>
      <c r="AE156" s="3">
        <v>129.1</v>
      </c>
      <c r="AF156">
        <f t="shared" si="22"/>
        <v>1708.1</v>
      </c>
      <c r="AG156">
        <f t="shared" si="23"/>
        <v>384.2</v>
      </c>
      <c r="AH156">
        <f t="shared" si="24"/>
        <v>235.7</v>
      </c>
      <c r="AI156">
        <f t="shared" si="25"/>
        <v>391.29999999999995</v>
      </c>
      <c r="AJ156">
        <f t="shared" si="26"/>
        <v>245.60000000000002</v>
      </c>
      <c r="AK156">
        <f t="shared" si="27"/>
        <v>393.1</v>
      </c>
    </row>
    <row r="157" spans="1:37" x14ac:dyDescent="0.25">
      <c r="A157" s="6" t="s">
        <v>34</v>
      </c>
      <c r="B157" s="6">
        <v>2017</v>
      </c>
      <c r="C157" s="6" t="s">
        <v>37</v>
      </c>
      <c r="D157" s="3">
        <v>133</v>
      </c>
      <c r="E157" s="3">
        <v>139.4</v>
      </c>
      <c r="F157" s="3">
        <v>126.1</v>
      </c>
      <c r="G157" s="3">
        <v>137.19999999999999</v>
      </c>
      <c r="H157" s="3">
        <v>118.4</v>
      </c>
      <c r="I157" s="3">
        <v>139.9</v>
      </c>
      <c r="J157" s="3">
        <v>123.4</v>
      </c>
      <c r="K157" s="3">
        <v>140.9</v>
      </c>
      <c r="L157" s="3">
        <v>118.5</v>
      </c>
      <c r="M157" s="3">
        <v>136.5</v>
      </c>
      <c r="N157" s="3">
        <v>127.4</v>
      </c>
      <c r="O157" s="3">
        <v>144.19999999999999</v>
      </c>
      <c r="P157" s="3">
        <v>133.5</v>
      </c>
      <c r="Q157" s="3">
        <v>145.4</v>
      </c>
      <c r="R157" s="3">
        <v>138</v>
      </c>
      <c r="S157" s="3">
        <v>131.1</v>
      </c>
      <c r="T157" s="3">
        <v>137</v>
      </c>
      <c r="U157" s="3">
        <v>131.69999999999999</v>
      </c>
      <c r="V157" s="3">
        <f t="shared" si="21"/>
        <v>131.69999999999999</v>
      </c>
      <c r="W157" s="3">
        <v>129.80000000000001</v>
      </c>
      <c r="X157" s="3">
        <v>130.4</v>
      </c>
      <c r="Y157" s="3">
        <v>128.1</v>
      </c>
      <c r="Z157" s="3">
        <v>116.6</v>
      </c>
      <c r="AA157" s="3">
        <v>125.1</v>
      </c>
      <c r="AB157" s="3">
        <v>134.5</v>
      </c>
      <c r="AC157" s="3">
        <v>123.1</v>
      </c>
      <c r="AD157" s="3">
        <v>125.1</v>
      </c>
      <c r="AE157" s="3">
        <v>131.1</v>
      </c>
      <c r="AF157">
        <f t="shared" si="22"/>
        <v>1718.4</v>
      </c>
      <c r="AG157">
        <f t="shared" si="23"/>
        <v>406.1</v>
      </c>
      <c r="AH157">
        <f t="shared" si="24"/>
        <v>246.4</v>
      </c>
      <c r="AI157">
        <f t="shared" si="25"/>
        <v>396.6</v>
      </c>
      <c r="AJ157">
        <f t="shared" si="26"/>
        <v>251.2</v>
      </c>
      <c r="AK157">
        <f t="shared" si="27"/>
        <v>395.6</v>
      </c>
    </row>
    <row r="158" spans="1:37" x14ac:dyDescent="0.25">
      <c r="A158" s="6" t="s">
        <v>30</v>
      </c>
      <c r="B158" s="6">
        <v>2017</v>
      </c>
      <c r="C158" s="6" t="s">
        <v>38</v>
      </c>
      <c r="D158" s="3">
        <v>133.1</v>
      </c>
      <c r="E158" s="3">
        <v>140.30000000000001</v>
      </c>
      <c r="F158" s="3">
        <v>126.8</v>
      </c>
      <c r="G158" s="3">
        <v>138.19999999999999</v>
      </c>
      <c r="H158" s="3">
        <v>120.8</v>
      </c>
      <c r="I158" s="3">
        <v>140.19999999999999</v>
      </c>
      <c r="J158" s="3">
        <v>123.8</v>
      </c>
      <c r="K158" s="3">
        <v>141.80000000000001</v>
      </c>
      <c r="L158" s="3">
        <v>118.6</v>
      </c>
      <c r="M158" s="3">
        <v>134</v>
      </c>
      <c r="N158" s="3">
        <v>130.30000000000001</v>
      </c>
      <c r="O158" s="3">
        <v>145.80000000000001</v>
      </c>
      <c r="P158" s="3">
        <v>133.80000000000001</v>
      </c>
      <c r="Q158" s="3">
        <v>145.5</v>
      </c>
      <c r="R158" s="3">
        <v>142.5</v>
      </c>
      <c r="S158" s="3">
        <v>137.30000000000001</v>
      </c>
      <c r="T158" s="3">
        <v>141.80000000000001</v>
      </c>
      <c r="U158" s="3" t="s">
        <v>32</v>
      </c>
      <c r="V158" s="3">
        <f t="shared" si="21"/>
        <v>132.1</v>
      </c>
      <c r="W158" s="3">
        <v>135</v>
      </c>
      <c r="X158" s="3">
        <v>134.9</v>
      </c>
      <c r="Y158" s="3">
        <v>131.4</v>
      </c>
      <c r="Z158" s="3">
        <v>119.4</v>
      </c>
      <c r="AA158" s="3">
        <v>129.4</v>
      </c>
      <c r="AB158" s="3">
        <v>136.30000000000001</v>
      </c>
      <c r="AC158" s="3">
        <v>123.7</v>
      </c>
      <c r="AD158" s="3">
        <v>127.9</v>
      </c>
      <c r="AE158" s="3">
        <v>133.30000000000001</v>
      </c>
      <c r="AF158">
        <f t="shared" si="22"/>
        <v>1727.4999999999995</v>
      </c>
      <c r="AG158">
        <f t="shared" si="23"/>
        <v>421.6</v>
      </c>
      <c r="AH158">
        <f t="shared" si="24"/>
        <v>254.4</v>
      </c>
      <c r="AI158">
        <f t="shared" si="25"/>
        <v>403.3</v>
      </c>
      <c r="AJ158">
        <f t="shared" si="26"/>
        <v>255.10000000000002</v>
      </c>
      <c r="AK158">
        <f t="shared" si="27"/>
        <v>402.79999999999995</v>
      </c>
    </row>
    <row r="159" spans="1:37" x14ac:dyDescent="0.25">
      <c r="A159" s="6" t="s">
        <v>33</v>
      </c>
      <c r="B159" s="6">
        <v>2017</v>
      </c>
      <c r="C159" s="6" t="s">
        <v>38</v>
      </c>
      <c r="D159" s="3">
        <v>132.6</v>
      </c>
      <c r="E159" s="3">
        <v>144.1</v>
      </c>
      <c r="F159" s="3">
        <v>125.6</v>
      </c>
      <c r="G159" s="3">
        <v>136.80000000000001</v>
      </c>
      <c r="H159" s="3">
        <v>113.4</v>
      </c>
      <c r="I159" s="3">
        <v>135.19999999999999</v>
      </c>
      <c r="J159" s="3">
        <v>129.19999999999999</v>
      </c>
      <c r="K159" s="3">
        <v>131.5</v>
      </c>
      <c r="L159" s="3">
        <v>121</v>
      </c>
      <c r="M159" s="3">
        <v>139.9</v>
      </c>
      <c r="N159" s="3">
        <v>123.8</v>
      </c>
      <c r="O159" s="3">
        <v>142.9</v>
      </c>
      <c r="P159" s="3">
        <v>133.6</v>
      </c>
      <c r="Q159" s="3">
        <v>148.30000000000001</v>
      </c>
      <c r="R159" s="3">
        <v>131.5</v>
      </c>
      <c r="S159" s="3">
        <v>123.2</v>
      </c>
      <c r="T159" s="3">
        <v>130.19999999999999</v>
      </c>
      <c r="U159" s="3">
        <v>132.1</v>
      </c>
      <c r="V159" s="3">
        <f t="shared" si="21"/>
        <v>132.1</v>
      </c>
      <c r="W159" s="3">
        <v>120.1</v>
      </c>
      <c r="X159" s="3">
        <v>126.5</v>
      </c>
      <c r="Y159" s="3">
        <v>123.6</v>
      </c>
      <c r="Z159" s="3">
        <v>114.3</v>
      </c>
      <c r="AA159" s="3">
        <v>122.8</v>
      </c>
      <c r="AB159" s="3">
        <v>133.80000000000001</v>
      </c>
      <c r="AC159" s="3">
        <v>122</v>
      </c>
      <c r="AD159" s="3">
        <v>122.6</v>
      </c>
      <c r="AE159" s="3">
        <v>129.30000000000001</v>
      </c>
      <c r="AF159">
        <f t="shared" si="22"/>
        <v>1709.6</v>
      </c>
      <c r="AG159">
        <f t="shared" si="23"/>
        <v>384.9</v>
      </c>
      <c r="AH159">
        <f t="shared" si="24"/>
        <v>234.39999999999998</v>
      </c>
      <c r="AI159">
        <f t="shared" si="25"/>
        <v>392.40000000000003</v>
      </c>
      <c r="AJ159">
        <f t="shared" si="26"/>
        <v>245.6</v>
      </c>
      <c r="AK159">
        <f t="shared" si="27"/>
        <v>393.70000000000005</v>
      </c>
    </row>
    <row r="160" spans="1:37" x14ac:dyDescent="0.25">
      <c r="A160" s="6" t="s">
        <v>34</v>
      </c>
      <c r="B160" s="6">
        <v>2017</v>
      </c>
      <c r="C160" s="6" t="s">
        <v>38</v>
      </c>
      <c r="D160" s="3">
        <v>132.9</v>
      </c>
      <c r="E160" s="3">
        <v>141.6</v>
      </c>
      <c r="F160" s="3">
        <v>126.3</v>
      </c>
      <c r="G160" s="3">
        <v>137.69999999999999</v>
      </c>
      <c r="H160" s="3">
        <v>118.1</v>
      </c>
      <c r="I160" s="3">
        <v>137.9</v>
      </c>
      <c r="J160" s="3">
        <v>125.6</v>
      </c>
      <c r="K160" s="3">
        <v>138.30000000000001</v>
      </c>
      <c r="L160" s="3">
        <v>119.4</v>
      </c>
      <c r="M160" s="3">
        <v>136</v>
      </c>
      <c r="N160" s="3">
        <v>127.6</v>
      </c>
      <c r="O160" s="3">
        <v>144.5</v>
      </c>
      <c r="P160" s="3">
        <v>133.69999999999999</v>
      </c>
      <c r="Q160" s="3">
        <v>146.19999999999999</v>
      </c>
      <c r="R160" s="3">
        <v>138.19999999999999</v>
      </c>
      <c r="S160" s="3">
        <v>131.4</v>
      </c>
      <c r="T160" s="3">
        <v>137.19999999999999</v>
      </c>
      <c r="U160" s="3">
        <v>132.1</v>
      </c>
      <c r="V160" s="3">
        <f t="shared" si="21"/>
        <v>132.1</v>
      </c>
      <c r="W160" s="3">
        <v>129.4</v>
      </c>
      <c r="X160" s="3">
        <v>130.9</v>
      </c>
      <c r="Y160" s="3">
        <v>128.4</v>
      </c>
      <c r="Z160" s="3">
        <v>116.7</v>
      </c>
      <c r="AA160" s="3">
        <v>125.7</v>
      </c>
      <c r="AB160" s="3">
        <v>134.80000000000001</v>
      </c>
      <c r="AC160" s="3">
        <v>123</v>
      </c>
      <c r="AD160" s="3">
        <v>125.3</v>
      </c>
      <c r="AE160" s="3">
        <v>131.4</v>
      </c>
      <c r="AF160">
        <f t="shared" si="22"/>
        <v>1719.6000000000001</v>
      </c>
      <c r="AG160">
        <f t="shared" si="23"/>
        <v>406.8</v>
      </c>
      <c r="AH160">
        <f t="shared" si="24"/>
        <v>246.10000000000002</v>
      </c>
      <c r="AI160">
        <f t="shared" si="25"/>
        <v>397.8</v>
      </c>
      <c r="AJ160">
        <f t="shared" si="26"/>
        <v>251.4</v>
      </c>
      <c r="AK160">
        <f t="shared" si="27"/>
        <v>397.2</v>
      </c>
    </row>
    <row r="161" spans="1:37" x14ac:dyDescent="0.25">
      <c r="A161" s="6" t="s">
        <v>30</v>
      </c>
      <c r="B161" s="6">
        <v>2017</v>
      </c>
      <c r="C161" s="6" t="s">
        <v>39</v>
      </c>
      <c r="D161" s="3">
        <v>133.5</v>
      </c>
      <c r="E161" s="3">
        <v>143.69999999999999</v>
      </c>
      <c r="F161" s="3">
        <v>128</v>
      </c>
      <c r="G161" s="3">
        <v>138.6</v>
      </c>
      <c r="H161" s="3">
        <v>120.9</v>
      </c>
      <c r="I161" s="3">
        <v>140.9</v>
      </c>
      <c r="J161" s="3">
        <v>128.80000000000001</v>
      </c>
      <c r="K161" s="3">
        <v>140.19999999999999</v>
      </c>
      <c r="L161" s="3">
        <v>118.9</v>
      </c>
      <c r="M161" s="3">
        <v>133.5</v>
      </c>
      <c r="N161" s="3">
        <v>130.4</v>
      </c>
      <c r="O161" s="3">
        <v>146.5</v>
      </c>
      <c r="P161" s="3">
        <v>134.9</v>
      </c>
      <c r="Q161" s="3">
        <v>145.80000000000001</v>
      </c>
      <c r="R161" s="3">
        <v>143.1</v>
      </c>
      <c r="S161" s="3">
        <v>137.69999999999999</v>
      </c>
      <c r="T161" s="3">
        <v>142.30000000000001</v>
      </c>
      <c r="U161" s="3" t="s">
        <v>32</v>
      </c>
      <c r="V161" s="3">
        <f t="shared" si="21"/>
        <v>131.4</v>
      </c>
      <c r="W161" s="3">
        <v>134.80000000000001</v>
      </c>
      <c r="X161" s="3">
        <v>135.19999999999999</v>
      </c>
      <c r="Y161" s="3">
        <v>131.30000000000001</v>
      </c>
      <c r="Z161" s="3">
        <v>119.4</v>
      </c>
      <c r="AA161" s="3">
        <v>129.80000000000001</v>
      </c>
      <c r="AB161" s="3">
        <v>136.9</v>
      </c>
      <c r="AC161" s="3">
        <v>124.1</v>
      </c>
      <c r="AD161" s="3">
        <v>128.1</v>
      </c>
      <c r="AE161" s="3">
        <v>133.9</v>
      </c>
      <c r="AF161">
        <f t="shared" si="22"/>
        <v>1738.8000000000002</v>
      </c>
      <c r="AG161">
        <f t="shared" si="23"/>
        <v>423.09999999999997</v>
      </c>
      <c r="AH161">
        <f t="shared" si="24"/>
        <v>254.20000000000002</v>
      </c>
      <c r="AI161">
        <f t="shared" si="25"/>
        <v>403.5</v>
      </c>
      <c r="AJ161">
        <f t="shared" si="26"/>
        <v>255.4</v>
      </c>
      <c r="AK161">
        <f t="shared" si="27"/>
        <v>403.70000000000005</v>
      </c>
    </row>
    <row r="162" spans="1:37" x14ac:dyDescent="0.25">
      <c r="A162" s="6" t="s">
        <v>33</v>
      </c>
      <c r="B162" s="6">
        <v>2017</v>
      </c>
      <c r="C162" s="6" t="s">
        <v>39</v>
      </c>
      <c r="D162" s="3">
        <v>132.9</v>
      </c>
      <c r="E162" s="3">
        <v>148.69999999999999</v>
      </c>
      <c r="F162" s="3">
        <v>128.30000000000001</v>
      </c>
      <c r="G162" s="3">
        <v>137.30000000000001</v>
      </c>
      <c r="H162" s="3">
        <v>113.5</v>
      </c>
      <c r="I162" s="3">
        <v>137.19999999999999</v>
      </c>
      <c r="J162" s="3">
        <v>142.19999999999999</v>
      </c>
      <c r="K162" s="3">
        <v>128.19999999999999</v>
      </c>
      <c r="L162" s="3">
        <v>120.9</v>
      </c>
      <c r="M162" s="3">
        <v>138.80000000000001</v>
      </c>
      <c r="N162" s="3">
        <v>124.2</v>
      </c>
      <c r="O162" s="3">
        <v>143.1</v>
      </c>
      <c r="P162" s="3">
        <v>135.69999999999999</v>
      </c>
      <c r="Q162" s="3">
        <v>148.6</v>
      </c>
      <c r="R162" s="3">
        <v>131.5</v>
      </c>
      <c r="S162" s="3">
        <v>123.2</v>
      </c>
      <c r="T162" s="3">
        <v>130.19999999999999</v>
      </c>
      <c r="U162" s="3">
        <v>131.4</v>
      </c>
      <c r="V162" s="3">
        <f t="shared" si="21"/>
        <v>131.4</v>
      </c>
      <c r="W162" s="3">
        <v>119</v>
      </c>
      <c r="X162" s="3">
        <v>126.8</v>
      </c>
      <c r="Y162" s="3">
        <v>123.8</v>
      </c>
      <c r="Z162" s="3">
        <v>113.9</v>
      </c>
      <c r="AA162" s="3">
        <v>122.9</v>
      </c>
      <c r="AB162" s="3">
        <v>134.30000000000001</v>
      </c>
      <c r="AC162" s="3">
        <v>122.5</v>
      </c>
      <c r="AD162" s="3">
        <v>122.7</v>
      </c>
      <c r="AE162" s="3">
        <v>129.9</v>
      </c>
      <c r="AF162">
        <f t="shared" si="22"/>
        <v>1731.0000000000002</v>
      </c>
      <c r="AG162">
        <f t="shared" si="23"/>
        <v>384.9</v>
      </c>
      <c r="AH162">
        <f t="shared" si="24"/>
        <v>232.9</v>
      </c>
      <c r="AI162">
        <f t="shared" si="25"/>
        <v>392.5</v>
      </c>
      <c r="AJ162">
        <f t="shared" si="26"/>
        <v>246.3</v>
      </c>
      <c r="AK162">
        <f t="shared" si="27"/>
        <v>394.2</v>
      </c>
    </row>
    <row r="163" spans="1:37" x14ac:dyDescent="0.25">
      <c r="A163" s="6" t="s">
        <v>34</v>
      </c>
      <c r="B163" s="6">
        <v>2017</v>
      </c>
      <c r="C163" s="6" t="s">
        <v>39</v>
      </c>
      <c r="D163" s="3">
        <v>133.30000000000001</v>
      </c>
      <c r="E163" s="3">
        <v>145.5</v>
      </c>
      <c r="F163" s="3">
        <v>128.1</v>
      </c>
      <c r="G163" s="3">
        <v>138.1</v>
      </c>
      <c r="H163" s="3">
        <v>118.2</v>
      </c>
      <c r="I163" s="3">
        <v>139.19999999999999</v>
      </c>
      <c r="J163" s="3">
        <v>133.30000000000001</v>
      </c>
      <c r="K163" s="3">
        <v>136.19999999999999</v>
      </c>
      <c r="L163" s="3">
        <v>119.6</v>
      </c>
      <c r="M163" s="3">
        <v>135.30000000000001</v>
      </c>
      <c r="N163" s="3">
        <v>127.8</v>
      </c>
      <c r="O163" s="3">
        <v>144.9</v>
      </c>
      <c r="P163" s="3">
        <v>135.19999999999999</v>
      </c>
      <c r="Q163" s="3">
        <v>146.5</v>
      </c>
      <c r="R163" s="3">
        <v>138.5</v>
      </c>
      <c r="S163" s="3">
        <v>131.69999999999999</v>
      </c>
      <c r="T163" s="3">
        <v>137.5</v>
      </c>
      <c r="U163" s="3">
        <v>131.4</v>
      </c>
      <c r="V163" s="3">
        <f t="shared" si="21"/>
        <v>131.4</v>
      </c>
      <c r="W163" s="3">
        <v>128.80000000000001</v>
      </c>
      <c r="X163" s="3">
        <v>131.19999999999999</v>
      </c>
      <c r="Y163" s="3">
        <v>128.5</v>
      </c>
      <c r="Z163" s="3">
        <v>116.5</v>
      </c>
      <c r="AA163" s="3">
        <v>125.9</v>
      </c>
      <c r="AB163" s="3">
        <v>135.4</v>
      </c>
      <c r="AC163" s="3">
        <v>123.4</v>
      </c>
      <c r="AD163" s="3">
        <v>125.5</v>
      </c>
      <c r="AE163" s="3">
        <v>132</v>
      </c>
      <c r="AF163">
        <f t="shared" si="22"/>
        <v>1734.7</v>
      </c>
      <c r="AG163">
        <f t="shared" si="23"/>
        <v>407.7</v>
      </c>
      <c r="AH163">
        <f t="shared" si="24"/>
        <v>245.3</v>
      </c>
      <c r="AI163">
        <f t="shared" si="25"/>
        <v>398</v>
      </c>
      <c r="AJ163">
        <f t="shared" si="26"/>
        <v>251.9</v>
      </c>
      <c r="AK163">
        <f t="shared" si="27"/>
        <v>397.9</v>
      </c>
    </row>
    <row r="164" spans="1:37" x14ac:dyDescent="0.25">
      <c r="A164" s="6" t="s">
        <v>30</v>
      </c>
      <c r="B164" s="6">
        <v>2017</v>
      </c>
      <c r="C164" s="6" t="s">
        <v>40</v>
      </c>
      <c r="D164" s="3">
        <v>134</v>
      </c>
      <c r="E164" s="3">
        <v>144.19999999999999</v>
      </c>
      <c r="F164" s="3">
        <v>129.80000000000001</v>
      </c>
      <c r="G164" s="3">
        <v>139</v>
      </c>
      <c r="H164" s="3">
        <v>120.9</v>
      </c>
      <c r="I164" s="3">
        <v>143.9</v>
      </c>
      <c r="J164" s="3">
        <v>151.5</v>
      </c>
      <c r="K164" s="3">
        <v>138.1</v>
      </c>
      <c r="L164" s="3">
        <v>120</v>
      </c>
      <c r="M164" s="3">
        <v>133.9</v>
      </c>
      <c r="N164" s="3">
        <v>131.4</v>
      </c>
      <c r="O164" s="3">
        <v>147.69999999999999</v>
      </c>
      <c r="P164" s="3">
        <v>138.5</v>
      </c>
      <c r="Q164" s="3">
        <v>147.4</v>
      </c>
      <c r="R164" s="3">
        <v>144.30000000000001</v>
      </c>
      <c r="S164" s="3">
        <v>138.1</v>
      </c>
      <c r="T164" s="3">
        <v>143.5</v>
      </c>
      <c r="U164" s="3" t="s">
        <v>32</v>
      </c>
      <c r="V164" s="3">
        <f t="shared" si="21"/>
        <v>132.6</v>
      </c>
      <c r="W164" s="3">
        <v>135.30000000000001</v>
      </c>
      <c r="X164" s="3">
        <v>136.1</v>
      </c>
      <c r="Y164" s="3">
        <v>132.1</v>
      </c>
      <c r="Z164" s="3">
        <v>119.1</v>
      </c>
      <c r="AA164" s="3">
        <v>130.6</v>
      </c>
      <c r="AB164" s="3">
        <v>138.6</v>
      </c>
      <c r="AC164" s="3">
        <v>124.4</v>
      </c>
      <c r="AD164" s="3">
        <v>128.6</v>
      </c>
      <c r="AE164" s="3">
        <v>136.19999999999999</v>
      </c>
      <c r="AF164">
        <f t="shared" si="22"/>
        <v>1772.9</v>
      </c>
      <c r="AG164">
        <f t="shared" si="23"/>
        <v>425.9</v>
      </c>
      <c r="AH164">
        <f t="shared" si="24"/>
        <v>254.4</v>
      </c>
      <c r="AI164">
        <f t="shared" si="25"/>
        <v>407.29999999999995</v>
      </c>
      <c r="AJ164">
        <f t="shared" si="26"/>
        <v>256.5</v>
      </c>
      <c r="AK164">
        <f t="shared" si="27"/>
        <v>406.6</v>
      </c>
    </row>
    <row r="165" spans="1:37" x14ac:dyDescent="0.25">
      <c r="A165" s="6" t="s">
        <v>33</v>
      </c>
      <c r="B165" s="6">
        <v>2017</v>
      </c>
      <c r="C165" s="6" t="s">
        <v>40</v>
      </c>
      <c r="D165" s="3">
        <v>132.80000000000001</v>
      </c>
      <c r="E165" s="3">
        <v>148.4</v>
      </c>
      <c r="F165" s="3">
        <v>129.4</v>
      </c>
      <c r="G165" s="3">
        <v>137.69999999999999</v>
      </c>
      <c r="H165" s="3">
        <v>113.4</v>
      </c>
      <c r="I165" s="3">
        <v>139.4</v>
      </c>
      <c r="J165" s="3">
        <v>175.1</v>
      </c>
      <c r="K165" s="3">
        <v>124.7</v>
      </c>
      <c r="L165" s="3">
        <v>121.5</v>
      </c>
      <c r="M165" s="3">
        <v>137.80000000000001</v>
      </c>
      <c r="N165" s="3">
        <v>124.4</v>
      </c>
      <c r="O165" s="3">
        <v>143.69999999999999</v>
      </c>
      <c r="P165" s="3">
        <v>139.80000000000001</v>
      </c>
      <c r="Q165" s="3">
        <v>150.5</v>
      </c>
      <c r="R165" s="3">
        <v>131.6</v>
      </c>
      <c r="S165" s="3">
        <v>123.7</v>
      </c>
      <c r="T165" s="3">
        <v>130.4</v>
      </c>
      <c r="U165" s="3">
        <v>132.6</v>
      </c>
      <c r="V165" s="3">
        <f t="shared" si="21"/>
        <v>132.6</v>
      </c>
      <c r="W165" s="3">
        <v>119.7</v>
      </c>
      <c r="X165" s="3">
        <v>127.2</v>
      </c>
      <c r="Y165" s="3">
        <v>125</v>
      </c>
      <c r="Z165" s="3">
        <v>113.2</v>
      </c>
      <c r="AA165" s="3">
        <v>123.5</v>
      </c>
      <c r="AB165" s="3">
        <v>135.5</v>
      </c>
      <c r="AC165" s="3">
        <v>122.4</v>
      </c>
      <c r="AD165" s="3">
        <v>123</v>
      </c>
      <c r="AE165" s="3">
        <v>131.80000000000001</v>
      </c>
      <c r="AF165">
        <f t="shared" si="22"/>
        <v>1768.1</v>
      </c>
      <c r="AG165">
        <f t="shared" si="23"/>
        <v>385.70000000000005</v>
      </c>
      <c r="AH165">
        <f t="shared" si="24"/>
        <v>232.9</v>
      </c>
      <c r="AI165">
        <f t="shared" si="25"/>
        <v>395.3</v>
      </c>
      <c r="AJ165">
        <f t="shared" si="26"/>
        <v>247.4</v>
      </c>
      <c r="AK165">
        <f t="shared" si="27"/>
        <v>397</v>
      </c>
    </row>
    <row r="166" spans="1:37" x14ac:dyDescent="0.25">
      <c r="A166" s="6" t="s">
        <v>34</v>
      </c>
      <c r="B166" s="6">
        <v>2017</v>
      </c>
      <c r="C166" s="6" t="s">
        <v>40</v>
      </c>
      <c r="D166" s="3">
        <v>133.6</v>
      </c>
      <c r="E166" s="3">
        <v>145.69999999999999</v>
      </c>
      <c r="F166" s="3">
        <v>129.6</v>
      </c>
      <c r="G166" s="3">
        <v>138.5</v>
      </c>
      <c r="H166" s="3">
        <v>118.1</v>
      </c>
      <c r="I166" s="3">
        <v>141.80000000000001</v>
      </c>
      <c r="J166" s="3">
        <v>159.5</v>
      </c>
      <c r="K166" s="3">
        <v>133.6</v>
      </c>
      <c r="L166" s="3">
        <v>120.5</v>
      </c>
      <c r="M166" s="3">
        <v>135.19999999999999</v>
      </c>
      <c r="N166" s="3">
        <v>128.5</v>
      </c>
      <c r="O166" s="3">
        <v>145.80000000000001</v>
      </c>
      <c r="P166" s="3">
        <v>139</v>
      </c>
      <c r="Q166" s="3">
        <v>148.19999999999999</v>
      </c>
      <c r="R166" s="3">
        <v>139.30000000000001</v>
      </c>
      <c r="S166" s="3">
        <v>132.1</v>
      </c>
      <c r="T166" s="3">
        <v>138.30000000000001</v>
      </c>
      <c r="U166" s="3">
        <v>132.6</v>
      </c>
      <c r="V166" s="3">
        <f t="shared" si="21"/>
        <v>132.6</v>
      </c>
      <c r="W166" s="3">
        <v>129.4</v>
      </c>
      <c r="X166" s="3">
        <v>131.9</v>
      </c>
      <c r="Y166" s="3">
        <v>129.4</v>
      </c>
      <c r="Z166" s="3">
        <v>116</v>
      </c>
      <c r="AA166" s="3">
        <v>126.6</v>
      </c>
      <c r="AB166" s="3">
        <v>136.80000000000001</v>
      </c>
      <c r="AC166" s="3">
        <v>123.6</v>
      </c>
      <c r="AD166" s="3">
        <v>125.9</v>
      </c>
      <c r="AE166" s="3">
        <v>134.19999999999999</v>
      </c>
      <c r="AF166">
        <f t="shared" si="22"/>
        <v>1769.3999999999999</v>
      </c>
      <c r="AG166">
        <f t="shared" si="23"/>
        <v>409.7</v>
      </c>
      <c r="AH166">
        <f t="shared" si="24"/>
        <v>245.4</v>
      </c>
      <c r="AI166">
        <f t="shared" si="25"/>
        <v>401.3</v>
      </c>
      <c r="AJ166">
        <f t="shared" si="26"/>
        <v>253</v>
      </c>
      <c r="AK166">
        <f t="shared" si="27"/>
        <v>400.69999999999993</v>
      </c>
    </row>
    <row r="167" spans="1:37" x14ac:dyDescent="0.25">
      <c r="A167" s="6" t="s">
        <v>30</v>
      </c>
      <c r="B167" s="6">
        <v>2017</v>
      </c>
      <c r="C167" s="6" t="s">
        <v>41</v>
      </c>
      <c r="D167" s="3">
        <v>134.80000000000001</v>
      </c>
      <c r="E167" s="3">
        <v>143.1</v>
      </c>
      <c r="F167" s="3">
        <v>130</v>
      </c>
      <c r="G167" s="3">
        <v>139.4</v>
      </c>
      <c r="H167" s="3">
        <v>120.5</v>
      </c>
      <c r="I167" s="3">
        <v>148</v>
      </c>
      <c r="J167" s="3">
        <v>162.9</v>
      </c>
      <c r="K167" s="3">
        <v>137.4</v>
      </c>
      <c r="L167" s="3">
        <v>120.8</v>
      </c>
      <c r="M167" s="3">
        <v>134.69999999999999</v>
      </c>
      <c r="N167" s="3">
        <v>131.6</v>
      </c>
      <c r="O167" s="3">
        <v>148.69999999999999</v>
      </c>
      <c r="P167" s="3">
        <v>140.6</v>
      </c>
      <c r="Q167" s="3">
        <v>149</v>
      </c>
      <c r="R167" s="3">
        <v>145.30000000000001</v>
      </c>
      <c r="S167" s="3">
        <v>139.19999999999999</v>
      </c>
      <c r="T167" s="3">
        <v>144.5</v>
      </c>
      <c r="U167" s="3" t="s">
        <v>32</v>
      </c>
      <c r="V167" s="3">
        <f t="shared" si="21"/>
        <v>134.4</v>
      </c>
      <c r="W167" s="3">
        <v>136.4</v>
      </c>
      <c r="X167" s="3">
        <v>137.30000000000001</v>
      </c>
      <c r="Y167" s="3">
        <v>133</v>
      </c>
      <c r="Z167" s="3">
        <v>120.3</v>
      </c>
      <c r="AA167" s="3">
        <v>131.5</v>
      </c>
      <c r="AB167" s="3">
        <v>140.19999999999999</v>
      </c>
      <c r="AC167" s="3">
        <v>125.4</v>
      </c>
      <c r="AD167" s="3">
        <v>129.69999999999999</v>
      </c>
      <c r="AE167" s="3">
        <v>137.80000000000001</v>
      </c>
      <c r="AF167">
        <f t="shared" si="22"/>
        <v>1792.4999999999998</v>
      </c>
      <c r="AG167">
        <f t="shared" si="23"/>
        <v>429</v>
      </c>
      <c r="AH167">
        <f t="shared" si="24"/>
        <v>256.7</v>
      </c>
      <c r="AI167">
        <f t="shared" si="25"/>
        <v>411.90000000000003</v>
      </c>
      <c r="AJ167">
        <f t="shared" si="26"/>
        <v>258.39999999999998</v>
      </c>
      <c r="AK167">
        <f t="shared" si="27"/>
        <v>410.2</v>
      </c>
    </row>
    <row r="168" spans="1:37" x14ac:dyDescent="0.25">
      <c r="A168" s="6" t="s">
        <v>33</v>
      </c>
      <c r="B168" s="6">
        <v>2017</v>
      </c>
      <c r="C168" s="6" t="s">
        <v>41</v>
      </c>
      <c r="D168" s="3">
        <v>133.19999999999999</v>
      </c>
      <c r="E168" s="3">
        <v>143.9</v>
      </c>
      <c r="F168" s="3">
        <v>128.30000000000001</v>
      </c>
      <c r="G168" s="3">
        <v>138.30000000000001</v>
      </c>
      <c r="H168" s="3">
        <v>114.1</v>
      </c>
      <c r="I168" s="3">
        <v>142.69999999999999</v>
      </c>
      <c r="J168" s="3">
        <v>179.8</v>
      </c>
      <c r="K168" s="3">
        <v>123.5</v>
      </c>
      <c r="L168" s="3">
        <v>122.1</v>
      </c>
      <c r="M168" s="3">
        <v>137.5</v>
      </c>
      <c r="N168" s="3">
        <v>124.6</v>
      </c>
      <c r="O168" s="3">
        <v>144.5</v>
      </c>
      <c r="P168" s="3">
        <v>140.5</v>
      </c>
      <c r="Q168" s="3">
        <v>152.1</v>
      </c>
      <c r="R168" s="3">
        <v>132.69999999999999</v>
      </c>
      <c r="S168" s="3">
        <v>124.3</v>
      </c>
      <c r="T168" s="3">
        <v>131.4</v>
      </c>
      <c r="U168" s="3">
        <v>134.4</v>
      </c>
      <c r="V168" s="3">
        <f t="shared" si="21"/>
        <v>134.4</v>
      </c>
      <c r="W168" s="3">
        <v>118.9</v>
      </c>
      <c r="X168" s="3">
        <v>127.7</v>
      </c>
      <c r="Y168" s="3">
        <v>125.7</v>
      </c>
      <c r="Z168" s="3">
        <v>114.6</v>
      </c>
      <c r="AA168" s="3">
        <v>124.1</v>
      </c>
      <c r="AB168" s="3">
        <v>135.69999999999999</v>
      </c>
      <c r="AC168" s="3">
        <v>123.3</v>
      </c>
      <c r="AD168" s="3">
        <v>123.8</v>
      </c>
      <c r="AE168" s="3">
        <v>132.69999999999999</v>
      </c>
      <c r="AF168">
        <f t="shared" si="22"/>
        <v>1772.9999999999998</v>
      </c>
      <c r="AG168">
        <f t="shared" si="23"/>
        <v>388.4</v>
      </c>
      <c r="AH168">
        <f t="shared" si="24"/>
        <v>233.5</v>
      </c>
      <c r="AI168">
        <f t="shared" si="25"/>
        <v>397.8</v>
      </c>
      <c r="AJ168">
        <f t="shared" si="26"/>
        <v>249</v>
      </c>
      <c r="AK168">
        <f t="shared" si="27"/>
        <v>400</v>
      </c>
    </row>
    <row r="169" spans="1:37" x14ac:dyDescent="0.25">
      <c r="A169" s="6" t="s">
        <v>34</v>
      </c>
      <c r="B169" s="6">
        <v>2017</v>
      </c>
      <c r="C169" s="6" t="s">
        <v>41</v>
      </c>
      <c r="D169" s="3">
        <v>134.30000000000001</v>
      </c>
      <c r="E169" s="3">
        <v>143.4</v>
      </c>
      <c r="F169" s="3">
        <v>129.30000000000001</v>
      </c>
      <c r="G169" s="3">
        <v>139</v>
      </c>
      <c r="H169" s="3">
        <v>118.1</v>
      </c>
      <c r="I169" s="3">
        <v>145.5</v>
      </c>
      <c r="J169" s="3">
        <v>168.6</v>
      </c>
      <c r="K169" s="3">
        <v>132.69999999999999</v>
      </c>
      <c r="L169" s="3">
        <v>121.2</v>
      </c>
      <c r="M169" s="3">
        <v>135.6</v>
      </c>
      <c r="N169" s="3">
        <v>128.69999999999999</v>
      </c>
      <c r="O169" s="3">
        <v>146.80000000000001</v>
      </c>
      <c r="P169" s="3">
        <v>140.6</v>
      </c>
      <c r="Q169" s="3">
        <v>149.80000000000001</v>
      </c>
      <c r="R169" s="3">
        <v>140.30000000000001</v>
      </c>
      <c r="S169" s="3">
        <v>133</v>
      </c>
      <c r="T169" s="3">
        <v>139.30000000000001</v>
      </c>
      <c r="U169" s="3">
        <v>134.4</v>
      </c>
      <c r="V169" s="3">
        <f t="shared" si="21"/>
        <v>134.4</v>
      </c>
      <c r="W169" s="3">
        <v>129.80000000000001</v>
      </c>
      <c r="X169" s="3">
        <v>132.80000000000001</v>
      </c>
      <c r="Y169" s="3">
        <v>130.19999999999999</v>
      </c>
      <c r="Z169" s="3">
        <v>117.3</v>
      </c>
      <c r="AA169" s="3">
        <v>127.3</v>
      </c>
      <c r="AB169" s="3">
        <v>137.6</v>
      </c>
      <c r="AC169" s="3">
        <v>124.5</v>
      </c>
      <c r="AD169" s="3">
        <v>126.8</v>
      </c>
      <c r="AE169" s="3">
        <v>135.4</v>
      </c>
      <c r="AF169">
        <f t="shared" si="22"/>
        <v>1783.8</v>
      </c>
      <c r="AG169">
        <f t="shared" si="23"/>
        <v>412.6</v>
      </c>
      <c r="AH169">
        <f t="shared" si="24"/>
        <v>247.10000000000002</v>
      </c>
      <c r="AI169">
        <f t="shared" si="25"/>
        <v>404.80000000000007</v>
      </c>
      <c r="AJ169">
        <f t="shared" si="26"/>
        <v>254.7</v>
      </c>
      <c r="AK169">
        <f t="shared" si="27"/>
        <v>403.90000000000003</v>
      </c>
    </row>
    <row r="170" spans="1:37" x14ac:dyDescent="0.25">
      <c r="A170" s="6" t="s">
        <v>30</v>
      </c>
      <c r="B170" s="6">
        <v>2017</v>
      </c>
      <c r="C170" s="6" t="s">
        <v>42</v>
      </c>
      <c r="D170" s="3">
        <v>135.19999999999999</v>
      </c>
      <c r="E170" s="3">
        <v>142</v>
      </c>
      <c r="F170" s="3">
        <v>130.5</v>
      </c>
      <c r="G170" s="3">
        <v>140.19999999999999</v>
      </c>
      <c r="H170" s="3">
        <v>120.7</v>
      </c>
      <c r="I170" s="3">
        <v>147.80000000000001</v>
      </c>
      <c r="J170" s="3">
        <v>154.5</v>
      </c>
      <c r="K170" s="3">
        <v>137.1</v>
      </c>
      <c r="L170" s="3">
        <v>121</v>
      </c>
      <c r="M170" s="3">
        <v>134.69999999999999</v>
      </c>
      <c r="N170" s="3">
        <v>131.69999999999999</v>
      </c>
      <c r="O170" s="3">
        <v>149.30000000000001</v>
      </c>
      <c r="P170" s="3">
        <v>139.6</v>
      </c>
      <c r="Q170" s="3">
        <v>149.80000000000001</v>
      </c>
      <c r="R170" s="3">
        <v>146.1</v>
      </c>
      <c r="S170" s="3">
        <v>139.69999999999999</v>
      </c>
      <c r="T170" s="3">
        <v>145.19999999999999</v>
      </c>
      <c r="U170" s="3" t="s">
        <v>32</v>
      </c>
      <c r="V170" s="3">
        <f t="shared" si="21"/>
        <v>135.69999999999999</v>
      </c>
      <c r="W170" s="3">
        <v>137.4</v>
      </c>
      <c r="X170" s="3">
        <v>137.9</v>
      </c>
      <c r="Y170" s="3">
        <v>133.4</v>
      </c>
      <c r="Z170" s="3">
        <v>121.2</v>
      </c>
      <c r="AA170" s="3">
        <v>132.30000000000001</v>
      </c>
      <c r="AB170" s="3">
        <v>139.6</v>
      </c>
      <c r="AC170" s="3">
        <v>126.7</v>
      </c>
      <c r="AD170" s="3">
        <v>130.30000000000001</v>
      </c>
      <c r="AE170" s="3">
        <v>137.6</v>
      </c>
      <c r="AF170">
        <f t="shared" si="22"/>
        <v>1784.3</v>
      </c>
      <c r="AG170">
        <f t="shared" si="23"/>
        <v>430.99999999999994</v>
      </c>
      <c r="AH170">
        <f t="shared" si="24"/>
        <v>258.60000000000002</v>
      </c>
      <c r="AI170">
        <f t="shared" si="25"/>
        <v>413.20000000000005</v>
      </c>
      <c r="AJ170">
        <f t="shared" si="26"/>
        <v>260.10000000000002</v>
      </c>
      <c r="AK170">
        <f t="shared" si="27"/>
        <v>412.40000000000003</v>
      </c>
    </row>
    <row r="171" spans="1:37" x14ac:dyDescent="0.25">
      <c r="A171" s="6" t="s">
        <v>33</v>
      </c>
      <c r="B171" s="6">
        <v>2017</v>
      </c>
      <c r="C171" s="6" t="s">
        <v>42</v>
      </c>
      <c r="D171" s="3">
        <v>133.6</v>
      </c>
      <c r="E171" s="3">
        <v>143</v>
      </c>
      <c r="F171" s="3">
        <v>129.69999999999999</v>
      </c>
      <c r="G171" s="3">
        <v>138.69999999999999</v>
      </c>
      <c r="H171" s="3">
        <v>114.5</v>
      </c>
      <c r="I171" s="3">
        <v>137.5</v>
      </c>
      <c r="J171" s="3">
        <v>160.69999999999999</v>
      </c>
      <c r="K171" s="3">
        <v>124.5</v>
      </c>
      <c r="L171" s="3">
        <v>122.4</v>
      </c>
      <c r="M171" s="3">
        <v>137.30000000000001</v>
      </c>
      <c r="N171" s="3">
        <v>124.8</v>
      </c>
      <c r="O171" s="3">
        <v>145</v>
      </c>
      <c r="P171" s="3">
        <v>138</v>
      </c>
      <c r="Q171" s="3">
        <v>153.6</v>
      </c>
      <c r="R171" s="3">
        <v>133.30000000000001</v>
      </c>
      <c r="S171" s="3">
        <v>124.6</v>
      </c>
      <c r="T171" s="3">
        <v>132</v>
      </c>
      <c r="U171" s="3">
        <v>135.69999999999999</v>
      </c>
      <c r="V171" s="3">
        <f t="shared" si="21"/>
        <v>135.69999999999999</v>
      </c>
      <c r="W171" s="3">
        <v>120.6</v>
      </c>
      <c r="X171" s="3">
        <v>128.1</v>
      </c>
      <c r="Y171" s="3">
        <v>126.1</v>
      </c>
      <c r="Z171" s="3">
        <v>115.7</v>
      </c>
      <c r="AA171" s="3">
        <v>124.5</v>
      </c>
      <c r="AB171" s="3">
        <v>135.9</v>
      </c>
      <c r="AC171" s="3">
        <v>124.4</v>
      </c>
      <c r="AD171" s="3">
        <v>124.5</v>
      </c>
      <c r="AE171" s="3">
        <v>132.4</v>
      </c>
      <c r="AF171">
        <f t="shared" si="22"/>
        <v>1749.7</v>
      </c>
      <c r="AG171">
        <f t="shared" si="23"/>
        <v>389.9</v>
      </c>
      <c r="AH171">
        <f t="shared" si="24"/>
        <v>236.3</v>
      </c>
      <c r="AI171">
        <f t="shared" si="25"/>
        <v>399.69999999999993</v>
      </c>
      <c r="AJ171">
        <f t="shared" si="26"/>
        <v>250.5</v>
      </c>
      <c r="AK171">
        <f t="shared" si="27"/>
        <v>402.6</v>
      </c>
    </row>
    <row r="172" spans="1:37" x14ac:dyDescent="0.25">
      <c r="A172" s="6" t="s">
        <v>34</v>
      </c>
      <c r="B172" s="6">
        <v>2017</v>
      </c>
      <c r="C172" s="6" t="s">
        <v>42</v>
      </c>
      <c r="D172" s="3">
        <v>134.69999999999999</v>
      </c>
      <c r="E172" s="3">
        <v>142.4</v>
      </c>
      <c r="F172" s="3">
        <v>130.19999999999999</v>
      </c>
      <c r="G172" s="3">
        <v>139.6</v>
      </c>
      <c r="H172" s="3">
        <v>118.4</v>
      </c>
      <c r="I172" s="3">
        <v>143</v>
      </c>
      <c r="J172" s="3">
        <v>156.6</v>
      </c>
      <c r="K172" s="3">
        <v>132.9</v>
      </c>
      <c r="L172" s="3">
        <v>121.5</v>
      </c>
      <c r="M172" s="3">
        <v>135.6</v>
      </c>
      <c r="N172" s="3">
        <v>128.80000000000001</v>
      </c>
      <c r="O172" s="3">
        <v>147.30000000000001</v>
      </c>
      <c r="P172" s="3">
        <v>139</v>
      </c>
      <c r="Q172" s="3">
        <v>150.80000000000001</v>
      </c>
      <c r="R172" s="3">
        <v>141.1</v>
      </c>
      <c r="S172" s="3">
        <v>133.4</v>
      </c>
      <c r="T172" s="3">
        <v>140</v>
      </c>
      <c r="U172" s="3">
        <v>135.69999999999999</v>
      </c>
      <c r="V172" s="3">
        <f t="shared" si="21"/>
        <v>135.69999999999999</v>
      </c>
      <c r="W172" s="3">
        <v>131</v>
      </c>
      <c r="X172" s="3">
        <v>133.30000000000001</v>
      </c>
      <c r="Y172" s="3">
        <v>130.6</v>
      </c>
      <c r="Z172" s="3">
        <v>118.3</v>
      </c>
      <c r="AA172" s="3">
        <v>127.9</v>
      </c>
      <c r="AB172" s="3">
        <v>137.4</v>
      </c>
      <c r="AC172" s="3">
        <v>125.7</v>
      </c>
      <c r="AD172" s="3">
        <v>127.5</v>
      </c>
      <c r="AE172" s="3">
        <v>135.19999999999999</v>
      </c>
      <c r="AF172">
        <f t="shared" si="22"/>
        <v>1769.9999999999998</v>
      </c>
      <c r="AG172">
        <f t="shared" si="23"/>
        <v>414.5</v>
      </c>
      <c r="AH172">
        <f t="shared" si="24"/>
        <v>249.3</v>
      </c>
      <c r="AI172">
        <f t="shared" si="25"/>
        <v>406.4</v>
      </c>
      <c r="AJ172">
        <f t="shared" si="26"/>
        <v>256.3</v>
      </c>
      <c r="AK172">
        <f t="shared" si="27"/>
        <v>406.20000000000005</v>
      </c>
    </row>
    <row r="173" spans="1:37" x14ac:dyDescent="0.25">
      <c r="A173" s="6" t="s">
        <v>30</v>
      </c>
      <c r="B173" s="6">
        <v>2017</v>
      </c>
      <c r="C173" s="6" t="s">
        <v>43</v>
      </c>
      <c r="D173" s="3">
        <v>135.9</v>
      </c>
      <c r="E173" s="3">
        <v>141.9</v>
      </c>
      <c r="F173" s="3">
        <v>131</v>
      </c>
      <c r="G173" s="3">
        <v>141.5</v>
      </c>
      <c r="H173" s="3">
        <v>121.4</v>
      </c>
      <c r="I173" s="3">
        <v>146.69999999999999</v>
      </c>
      <c r="J173" s="3">
        <v>157.1</v>
      </c>
      <c r="K173" s="3">
        <v>136.4</v>
      </c>
      <c r="L173" s="3">
        <v>121.4</v>
      </c>
      <c r="M173" s="3">
        <v>135.6</v>
      </c>
      <c r="N173" s="3">
        <v>131.30000000000001</v>
      </c>
      <c r="O173" s="3">
        <v>150.30000000000001</v>
      </c>
      <c r="P173" s="3">
        <v>140.4</v>
      </c>
      <c r="Q173" s="3">
        <v>150.5</v>
      </c>
      <c r="R173" s="3">
        <v>147.19999999999999</v>
      </c>
      <c r="S173" s="3">
        <v>140.6</v>
      </c>
      <c r="T173" s="3">
        <v>146.19999999999999</v>
      </c>
      <c r="U173" s="3" t="s">
        <v>32</v>
      </c>
      <c r="V173" s="3">
        <f t="shared" si="21"/>
        <v>137.30000000000001</v>
      </c>
      <c r="W173" s="3">
        <v>138.1</v>
      </c>
      <c r="X173" s="3">
        <v>138.4</v>
      </c>
      <c r="Y173" s="3">
        <v>134.19999999999999</v>
      </c>
      <c r="Z173" s="3">
        <v>121</v>
      </c>
      <c r="AA173" s="3">
        <v>133</v>
      </c>
      <c r="AB173" s="3">
        <v>140.1</v>
      </c>
      <c r="AC173" s="3">
        <v>127.4</v>
      </c>
      <c r="AD173" s="3">
        <v>130.69999999999999</v>
      </c>
      <c r="AE173" s="3">
        <v>138.30000000000001</v>
      </c>
      <c r="AF173">
        <f t="shared" si="22"/>
        <v>1790.8999999999999</v>
      </c>
      <c r="AG173">
        <f t="shared" si="23"/>
        <v>433.99999999999994</v>
      </c>
      <c r="AH173">
        <f t="shared" si="24"/>
        <v>259.10000000000002</v>
      </c>
      <c r="AI173">
        <f t="shared" si="25"/>
        <v>415.80000000000007</v>
      </c>
      <c r="AJ173">
        <f t="shared" si="26"/>
        <v>261.60000000000002</v>
      </c>
      <c r="AK173">
        <f t="shared" si="27"/>
        <v>414.2</v>
      </c>
    </row>
    <row r="174" spans="1:37" x14ac:dyDescent="0.25">
      <c r="A174" s="6" t="s">
        <v>33</v>
      </c>
      <c r="B174" s="6">
        <v>2017</v>
      </c>
      <c r="C174" s="6" t="s">
        <v>43</v>
      </c>
      <c r="D174" s="3">
        <v>133.9</v>
      </c>
      <c r="E174" s="3">
        <v>142.80000000000001</v>
      </c>
      <c r="F174" s="3">
        <v>131.4</v>
      </c>
      <c r="G174" s="3">
        <v>139.1</v>
      </c>
      <c r="H174" s="3">
        <v>114.9</v>
      </c>
      <c r="I174" s="3">
        <v>135.6</v>
      </c>
      <c r="J174" s="3">
        <v>173.2</v>
      </c>
      <c r="K174" s="3">
        <v>124.1</v>
      </c>
      <c r="L174" s="3">
        <v>122.6</v>
      </c>
      <c r="M174" s="3">
        <v>137.80000000000001</v>
      </c>
      <c r="N174" s="3">
        <v>125.1</v>
      </c>
      <c r="O174" s="3">
        <v>145.5</v>
      </c>
      <c r="P174" s="3">
        <v>139.69999999999999</v>
      </c>
      <c r="Q174" s="3">
        <v>154.6</v>
      </c>
      <c r="R174" s="3">
        <v>134</v>
      </c>
      <c r="S174" s="3">
        <v>124.9</v>
      </c>
      <c r="T174" s="3">
        <v>132.6</v>
      </c>
      <c r="U174" s="3">
        <v>137.30000000000001</v>
      </c>
      <c r="V174" s="3">
        <f t="shared" si="21"/>
        <v>137.30000000000001</v>
      </c>
      <c r="W174" s="3">
        <v>122.6</v>
      </c>
      <c r="X174" s="3">
        <v>128.30000000000001</v>
      </c>
      <c r="Y174" s="3">
        <v>126.6</v>
      </c>
      <c r="Z174" s="3">
        <v>115</v>
      </c>
      <c r="AA174" s="3">
        <v>124.8</v>
      </c>
      <c r="AB174" s="3">
        <v>136.30000000000001</v>
      </c>
      <c r="AC174" s="3">
        <v>124.6</v>
      </c>
      <c r="AD174" s="3">
        <v>124.5</v>
      </c>
      <c r="AE174" s="3">
        <v>133.5</v>
      </c>
      <c r="AF174">
        <f t="shared" si="22"/>
        <v>1765.6999999999998</v>
      </c>
      <c r="AG174">
        <f t="shared" si="23"/>
        <v>391.5</v>
      </c>
      <c r="AH174">
        <f t="shared" si="24"/>
        <v>237.6</v>
      </c>
      <c r="AI174">
        <f t="shared" si="25"/>
        <v>401.90000000000003</v>
      </c>
      <c r="AJ174">
        <f t="shared" si="26"/>
        <v>251.2</v>
      </c>
      <c r="AK174">
        <f t="shared" si="27"/>
        <v>403.9</v>
      </c>
    </row>
    <row r="175" spans="1:37" x14ac:dyDescent="0.25">
      <c r="A175" s="6" t="s">
        <v>34</v>
      </c>
      <c r="B175" s="6">
        <v>2017</v>
      </c>
      <c r="C175" s="6" t="s">
        <v>43</v>
      </c>
      <c r="D175" s="3">
        <v>135.30000000000001</v>
      </c>
      <c r="E175" s="3">
        <v>142.19999999999999</v>
      </c>
      <c r="F175" s="3">
        <v>131.19999999999999</v>
      </c>
      <c r="G175" s="3">
        <v>140.6</v>
      </c>
      <c r="H175" s="3">
        <v>119</v>
      </c>
      <c r="I175" s="3">
        <v>141.5</v>
      </c>
      <c r="J175" s="3">
        <v>162.6</v>
      </c>
      <c r="K175" s="3">
        <v>132.30000000000001</v>
      </c>
      <c r="L175" s="3">
        <v>121.8</v>
      </c>
      <c r="M175" s="3">
        <v>136.30000000000001</v>
      </c>
      <c r="N175" s="3">
        <v>128.69999999999999</v>
      </c>
      <c r="O175" s="3">
        <v>148.1</v>
      </c>
      <c r="P175" s="3">
        <v>140.1</v>
      </c>
      <c r="Q175" s="3">
        <v>151.6</v>
      </c>
      <c r="R175" s="3">
        <v>142</v>
      </c>
      <c r="S175" s="3">
        <v>134.1</v>
      </c>
      <c r="T175" s="3">
        <v>140.80000000000001</v>
      </c>
      <c r="U175" s="3">
        <v>137.30000000000001</v>
      </c>
      <c r="V175" s="3">
        <f t="shared" si="21"/>
        <v>137.30000000000001</v>
      </c>
      <c r="W175" s="3">
        <v>132.19999999999999</v>
      </c>
      <c r="X175" s="3">
        <v>133.6</v>
      </c>
      <c r="Y175" s="3">
        <v>131.30000000000001</v>
      </c>
      <c r="Z175" s="3">
        <v>117.8</v>
      </c>
      <c r="AA175" s="3">
        <v>128.4</v>
      </c>
      <c r="AB175" s="3">
        <v>137.9</v>
      </c>
      <c r="AC175" s="3">
        <v>126.2</v>
      </c>
      <c r="AD175" s="3">
        <v>127.7</v>
      </c>
      <c r="AE175" s="3">
        <v>136.1</v>
      </c>
      <c r="AF175">
        <f t="shared" si="22"/>
        <v>1779.6999999999998</v>
      </c>
      <c r="AG175">
        <f t="shared" si="23"/>
        <v>416.90000000000003</v>
      </c>
      <c r="AH175">
        <f t="shared" si="24"/>
        <v>250</v>
      </c>
      <c r="AI175">
        <f t="shared" si="25"/>
        <v>408.79999999999995</v>
      </c>
      <c r="AJ175">
        <f t="shared" si="26"/>
        <v>257.5</v>
      </c>
      <c r="AK175">
        <f t="shared" si="27"/>
        <v>407.7</v>
      </c>
    </row>
    <row r="176" spans="1:37" x14ac:dyDescent="0.25">
      <c r="A176" s="6" t="s">
        <v>30</v>
      </c>
      <c r="B176" s="6">
        <v>2017</v>
      </c>
      <c r="C176" s="6" t="s">
        <v>45</v>
      </c>
      <c r="D176" s="3">
        <v>136.30000000000001</v>
      </c>
      <c r="E176" s="3">
        <v>142.5</v>
      </c>
      <c r="F176" s="3">
        <v>140.5</v>
      </c>
      <c r="G176" s="3">
        <v>141.5</v>
      </c>
      <c r="H176" s="3">
        <v>121.6</v>
      </c>
      <c r="I176" s="3">
        <v>147.30000000000001</v>
      </c>
      <c r="J176" s="3">
        <v>168</v>
      </c>
      <c r="K176" s="3">
        <v>135.80000000000001</v>
      </c>
      <c r="L176" s="3">
        <v>122.5</v>
      </c>
      <c r="M176" s="3">
        <v>136</v>
      </c>
      <c r="N176" s="3">
        <v>131.9</v>
      </c>
      <c r="O176" s="3">
        <v>151.4</v>
      </c>
      <c r="P176" s="3">
        <v>142.4</v>
      </c>
      <c r="Q176" s="3">
        <v>152.1</v>
      </c>
      <c r="R176" s="3">
        <v>148.19999999999999</v>
      </c>
      <c r="S176" s="3">
        <v>141.5</v>
      </c>
      <c r="T176" s="3">
        <v>147.30000000000001</v>
      </c>
      <c r="U176" s="3" t="s">
        <v>32</v>
      </c>
      <c r="V176" s="3">
        <f t="shared" si="21"/>
        <v>138.6</v>
      </c>
      <c r="W176" s="3">
        <v>141.1</v>
      </c>
      <c r="X176" s="3">
        <v>139.4</v>
      </c>
      <c r="Y176" s="3">
        <v>135.80000000000001</v>
      </c>
      <c r="Z176" s="3">
        <v>121.6</v>
      </c>
      <c r="AA176" s="3">
        <v>133.69999999999999</v>
      </c>
      <c r="AB176" s="3">
        <v>141.5</v>
      </c>
      <c r="AC176" s="3">
        <v>128.1</v>
      </c>
      <c r="AD176" s="3">
        <v>131.69999999999999</v>
      </c>
      <c r="AE176" s="3">
        <v>140</v>
      </c>
      <c r="AF176">
        <f t="shared" si="22"/>
        <v>1817.7000000000003</v>
      </c>
      <c r="AG176">
        <f t="shared" si="23"/>
        <v>437</v>
      </c>
      <c r="AH176">
        <f t="shared" si="24"/>
        <v>262.7</v>
      </c>
      <c r="AI176">
        <f t="shared" si="25"/>
        <v>419.5</v>
      </c>
      <c r="AJ176">
        <f t="shared" si="26"/>
        <v>263.89999999999998</v>
      </c>
      <c r="AK176">
        <f t="shared" si="27"/>
        <v>417.49999999999994</v>
      </c>
    </row>
    <row r="177" spans="1:37" x14ac:dyDescent="0.25">
      <c r="A177" s="6" t="s">
        <v>33</v>
      </c>
      <c r="B177" s="6">
        <v>2017</v>
      </c>
      <c r="C177" s="6" t="s">
        <v>45</v>
      </c>
      <c r="D177" s="3">
        <v>134.30000000000001</v>
      </c>
      <c r="E177" s="3">
        <v>142.1</v>
      </c>
      <c r="F177" s="3">
        <v>146.69999999999999</v>
      </c>
      <c r="G177" s="3">
        <v>139.5</v>
      </c>
      <c r="H177" s="3">
        <v>115.2</v>
      </c>
      <c r="I177" s="3">
        <v>136.4</v>
      </c>
      <c r="J177" s="3">
        <v>185.2</v>
      </c>
      <c r="K177" s="3">
        <v>122.2</v>
      </c>
      <c r="L177" s="3">
        <v>123.9</v>
      </c>
      <c r="M177" s="3">
        <v>138.30000000000001</v>
      </c>
      <c r="N177" s="3">
        <v>125.4</v>
      </c>
      <c r="O177" s="3">
        <v>146</v>
      </c>
      <c r="P177" s="3">
        <v>141.5</v>
      </c>
      <c r="Q177" s="3">
        <v>156.19999999999999</v>
      </c>
      <c r="R177" s="3">
        <v>135</v>
      </c>
      <c r="S177" s="3">
        <v>125.4</v>
      </c>
      <c r="T177" s="3">
        <v>133.5</v>
      </c>
      <c r="U177" s="3">
        <v>138.6</v>
      </c>
      <c r="V177" s="3">
        <f t="shared" si="21"/>
        <v>138.6</v>
      </c>
      <c r="W177" s="3">
        <v>125.7</v>
      </c>
      <c r="X177" s="3">
        <v>128.80000000000001</v>
      </c>
      <c r="Y177" s="3">
        <v>127.4</v>
      </c>
      <c r="Z177" s="3">
        <v>115.3</v>
      </c>
      <c r="AA177" s="3">
        <v>125.1</v>
      </c>
      <c r="AB177" s="3">
        <v>136.6</v>
      </c>
      <c r="AC177" s="3">
        <v>124.9</v>
      </c>
      <c r="AD177" s="3">
        <v>124.9</v>
      </c>
      <c r="AE177" s="3">
        <v>134.80000000000001</v>
      </c>
      <c r="AF177">
        <f t="shared" si="22"/>
        <v>1796.7</v>
      </c>
      <c r="AG177">
        <f t="shared" si="23"/>
        <v>393.9</v>
      </c>
      <c r="AH177">
        <f t="shared" si="24"/>
        <v>241</v>
      </c>
      <c r="AI177">
        <f t="shared" si="25"/>
        <v>404</v>
      </c>
      <c r="AJ177">
        <f t="shared" si="26"/>
        <v>252.3</v>
      </c>
      <c r="AK177">
        <f t="shared" si="27"/>
        <v>406.19999999999993</v>
      </c>
    </row>
    <row r="178" spans="1:37" x14ac:dyDescent="0.25">
      <c r="A178" s="6" t="s">
        <v>34</v>
      </c>
      <c r="B178" s="6">
        <v>2017</v>
      </c>
      <c r="C178" s="6" t="s">
        <v>45</v>
      </c>
      <c r="D178" s="3">
        <v>135.69999999999999</v>
      </c>
      <c r="E178" s="3">
        <v>142.4</v>
      </c>
      <c r="F178" s="3">
        <v>142.9</v>
      </c>
      <c r="G178" s="3">
        <v>140.80000000000001</v>
      </c>
      <c r="H178" s="3">
        <v>119.2</v>
      </c>
      <c r="I178" s="3">
        <v>142.19999999999999</v>
      </c>
      <c r="J178" s="3">
        <v>173.8</v>
      </c>
      <c r="K178" s="3">
        <v>131.19999999999999</v>
      </c>
      <c r="L178" s="3">
        <v>123</v>
      </c>
      <c r="M178" s="3">
        <v>136.80000000000001</v>
      </c>
      <c r="N178" s="3">
        <v>129.19999999999999</v>
      </c>
      <c r="O178" s="3">
        <v>148.9</v>
      </c>
      <c r="P178" s="3">
        <v>142.1</v>
      </c>
      <c r="Q178" s="3">
        <v>153.19999999999999</v>
      </c>
      <c r="R178" s="3">
        <v>143</v>
      </c>
      <c r="S178" s="3">
        <v>134.80000000000001</v>
      </c>
      <c r="T178" s="3">
        <v>141.80000000000001</v>
      </c>
      <c r="U178" s="3">
        <v>138.6</v>
      </c>
      <c r="V178" s="3">
        <f t="shared" si="21"/>
        <v>138.6</v>
      </c>
      <c r="W178" s="3">
        <v>135.30000000000001</v>
      </c>
      <c r="X178" s="3">
        <v>134.4</v>
      </c>
      <c r="Y178" s="3">
        <v>132.6</v>
      </c>
      <c r="Z178" s="3">
        <v>118.3</v>
      </c>
      <c r="AA178" s="3">
        <v>128.9</v>
      </c>
      <c r="AB178" s="3">
        <v>138.6</v>
      </c>
      <c r="AC178" s="3">
        <v>126.8</v>
      </c>
      <c r="AD178" s="3">
        <v>128.4</v>
      </c>
      <c r="AE178" s="3">
        <v>137.6</v>
      </c>
      <c r="AF178">
        <f t="shared" si="22"/>
        <v>1808.2</v>
      </c>
      <c r="AG178">
        <f t="shared" si="23"/>
        <v>419.6</v>
      </c>
      <c r="AH178">
        <f t="shared" si="24"/>
        <v>253.60000000000002</v>
      </c>
      <c r="AI178">
        <f t="shared" si="25"/>
        <v>411.6</v>
      </c>
      <c r="AJ178">
        <f t="shared" si="26"/>
        <v>259.39999999999998</v>
      </c>
      <c r="AK178">
        <f t="shared" si="27"/>
        <v>410.5</v>
      </c>
    </row>
    <row r="179" spans="1:37" x14ac:dyDescent="0.25">
      <c r="A179" s="6" t="s">
        <v>30</v>
      </c>
      <c r="B179" s="6">
        <v>2017</v>
      </c>
      <c r="C179" s="6" t="s">
        <v>46</v>
      </c>
      <c r="D179" s="3">
        <v>136.4</v>
      </c>
      <c r="E179" s="3">
        <v>143.69999999999999</v>
      </c>
      <c r="F179" s="3">
        <v>144.80000000000001</v>
      </c>
      <c r="G179" s="3">
        <v>141.9</v>
      </c>
      <c r="H179" s="3">
        <v>123.1</v>
      </c>
      <c r="I179" s="3">
        <v>147.19999999999999</v>
      </c>
      <c r="J179" s="3">
        <v>161</v>
      </c>
      <c r="K179" s="3">
        <v>133.80000000000001</v>
      </c>
      <c r="L179" s="3">
        <v>121.9</v>
      </c>
      <c r="M179" s="3">
        <v>135.80000000000001</v>
      </c>
      <c r="N179" s="3">
        <v>131.1</v>
      </c>
      <c r="O179" s="3">
        <v>151.4</v>
      </c>
      <c r="P179" s="3">
        <v>141.5</v>
      </c>
      <c r="Q179" s="3">
        <v>153.19999999999999</v>
      </c>
      <c r="R179" s="3">
        <v>148</v>
      </c>
      <c r="S179" s="3">
        <v>141.9</v>
      </c>
      <c r="T179" s="3">
        <v>147.19999999999999</v>
      </c>
      <c r="U179" s="3" t="s">
        <v>32</v>
      </c>
      <c r="V179" s="3">
        <f t="shared" si="21"/>
        <v>139.1</v>
      </c>
      <c r="W179" s="3">
        <v>142.6</v>
      </c>
      <c r="X179" s="3">
        <v>139.5</v>
      </c>
      <c r="Y179" s="3">
        <v>136.1</v>
      </c>
      <c r="Z179" s="3">
        <v>122</v>
      </c>
      <c r="AA179" s="3">
        <v>133.4</v>
      </c>
      <c r="AB179" s="3">
        <v>141.1</v>
      </c>
      <c r="AC179" s="3">
        <v>127.8</v>
      </c>
      <c r="AD179" s="3">
        <v>131.9</v>
      </c>
      <c r="AE179" s="3">
        <v>139.80000000000001</v>
      </c>
      <c r="AF179">
        <f t="shared" si="22"/>
        <v>1813.6000000000001</v>
      </c>
      <c r="AG179">
        <f t="shared" si="23"/>
        <v>437.09999999999997</v>
      </c>
      <c r="AH179">
        <f t="shared" si="24"/>
        <v>264.60000000000002</v>
      </c>
      <c r="AI179">
        <f t="shared" si="25"/>
        <v>419.70000000000005</v>
      </c>
      <c r="AJ179">
        <f t="shared" si="26"/>
        <v>263.89999999999998</v>
      </c>
      <c r="AK179">
        <f t="shared" si="27"/>
        <v>418.5</v>
      </c>
    </row>
    <row r="180" spans="1:37" x14ac:dyDescent="0.25">
      <c r="A180" s="6" t="s">
        <v>33</v>
      </c>
      <c r="B180" s="6">
        <v>2017</v>
      </c>
      <c r="C180" s="6" t="s">
        <v>46</v>
      </c>
      <c r="D180" s="3">
        <v>134.4</v>
      </c>
      <c r="E180" s="3">
        <v>142.6</v>
      </c>
      <c r="F180" s="3">
        <v>145.9</v>
      </c>
      <c r="G180" s="3">
        <v>139.5</v>
      </c>
      <c r="H180" s="3">
        <v>115.9</v>
      </c>
      <c r="I180" s="3">
        <v>135</v>
      </c>
      <c r="J180" s="3">
        <v>163.19999999999999</v>
      </c>
      <c r="K180" s="3">
        <v>119.8</v>
      </c>
      <c r="L180" s="3">
        <v>120.7</v>
      </c>
      <c r="M180" s="3">
        <v>139.69999999999999</v>
      </c>
      <c r="N180" s="3">
        <v>125.7</v>
      </c>
      <c r="O180" s="3">
        <v>146.30000000000001</v>
      </c>
      <c r="P180" s="3">
        <v>138.80000000000001</v>
      </c>
      <c r="Q180" s="3">
        <v>157</v>
      </c>
      <c r="R180" s="3">
        <v>135.6</v>
      </c>
      <c r="S180" s="3">
        <v>125.6</v>
      </c>
      <c r="T180" s="3">
        <v>134</v>
      </c>
      <c r="U180" s="3">
        <v>139.1</v>
      </c>
      <c r="V180" s="3">
        <f t="shared" si="21"/>
        <v>139.1</v>
      </c>
      <c r="W180" s="3">
        <v>126.8</v>
      </c>
      <c r="X180" s="3">
        <v>129.30000000000001</v>
      </c>
      <c r="Y180" s="3">
        <v>128.19999999999999</v>
      </c>
      <c r="Z180" s="3">
        <v>115.3</v>
      </c>
      <c r="AA180" s="3">
        <v>125.6</v>
      </c>
      <c r="AB180" s="3">
        <v>136.69999999999999</v>
      </c>
      <c r="AC180" s="3">
        <v>124.6</v>
      </c>
      <c r="AD180" s="3">
        <v>125.1</v>
      </c>
      <c r="AE180" s="3">
        <v>134.1</v>
      </c>
      <c r="AF180">
        <f t="shared" si="22"/>
        <v>1767.5</v>
      </c>
      <c r="AG180">
        <f t="shared" si="23"/>
        <v>395.2</v>
      </c>
      <c r="AH180">
        <f t="shared" si="24"/>
        <v>242.1</v>
      </c>
      <c r="AI180">
        <f t="shared" si="25"/>
        <v>405.09999999999997</v>
      </c>
      <c r="AJ180">
        <f t="shared" si="26"/>
        <v>252.79999999999998</v>
      </c>
      <c r="AK180">
        <f t="shared" si="27"/>
        <v>407.70000000000005</v>
      </c>
    </row>
    <row r="181" spans="1:37" x14ac:dyDescent="0.25">
      <c r="A181" s="6" t="s">
        <v>34</v>
      </c>
      <c r="B181" s="6">
        <v>2017</v>
      </c>
      <c r="C181" s="6" t="s">
        <v>46</v>
      </c>
      <c r="D181" s="3">
        <v>135.80000000000001</v>
      </c>
      <c r="E181" s="3">
        <v>143.30000000000001</v>
      </c>
      <c r="F181" s="3">
        <v>145.19999999999999</v>
      </c>
      <c r="G181" s="3">
        <v>141</v>
      </c>
      <c r="H181" s="3">
        <v>120.5</v>
      </c>
      <c r="I181" s="3">
        <v>141.5</v>
      </c>
      <c r="J181" s="3">
        <v>161.69999999999999</v>
      </c>
      <c r="K181" s="3">
        <v>129.1</v>
      </c>
      <c r="L181" s="3">
        <v>121.5</v>
      </c>
      <c r="M181" s="3">
        <v>137.1</v>
      </c>
      <c r="N181" s="3">
        <v>128.80000000000001</v>
      </c>
      <c r="O181" s="3">
        <v>149</v>
      </c>
      <c r="P181" s="3">
        <v>140.5</v>
      </c>
      <c r="Q181" s="3">
        <v>154.19999999999999</v>
      </c>
      <c r="R181" s="3">
        <v>143.1</v>
      </c>
      <c r="S181" s="3">
        <v>135.1</v>
      </c>
      <c r="T181" s="3">
        <v>142</v>
      </c>
      <c r="U181" s="3">
        <v>139.1</v>
      </c>
      <c r="V181" s="3">
        <f t="shared" si="21"/>
        <v>139.1</v>
      </c>
      <c r="W181" s="3">
        <v>136.6</v>
      </c>
      <c r="X181" s="3">
        <v>134.69999999999999</v>
      </c>
      <c r="Y181" s="3">
        <v>133.1</v>
      </c>
      <c r="Z181" s="3">
        <v>118.5</v>
      </c>
      <c r="AA181" s="3">
        <v>129</v>
      </c>
      <c r="AB181" s="3">
        <v>138.5</v>
      </c>
      <c r="AC181" s="3">
        <v>126.5</v>
      </c>
      <c r="AD181" s="3">
        <v>128.6</v>
      </c>
      <c r="AE181" s="3">
        <v>137.19999999999999</v>
      </c>
      <c r="AF181">
        <f t="shared" si="22"/>
        <v>1794.9999999999998</v>
      </c>
      <c r="AG181">
        <f t="shared" si="23"/>
        <v>420.2</v>
      </c>
      <c r="AH181">
        <f t="shared" si="24"/>
        <v>255.1</v>
      </c>
      <c r="AI181">
        <f t="shared" si="25"/>
        <v>412.29999999999995</v>
      </c>
      <c r="AJ181">
        <f t="shared" si="26"/>
        <v>259.60000000000002</v>
      </c>
      <c r="AK181">
        <f t="shared" si="27"/>
        <v>411.79999999999995</v>
      </c>
    </row>
    <row r="182" spans="1:37" x14ac:dyDescent="0.25">
      <c r="A182" s="6" t="s">
        <v>30</v>
      </c>
      <c r="B182" s="6">
        <v>2018</v>
      </c>
      <c r="C182" s="6" t="s">
        <v>31</v>
      </c>
      <c r="D182" s="3">
        <v>136.6</v>
      </c>
      <c r="E182" s="3">
        <v>144.4</v>
      </c>
      <c r="F182" s="3">
        <v>143.80000000000001</v>
      </c>
      <c r="G182" s="3">
        <v>142</v>
      </c>
      <c r="H182" s="3">
        <v>123.2</v>
      </c>
      <c r="I182" s="3">
        <v>147.9</v>
      </c>
      <c r="J182" s="3">
        <v>152.1</v>
      </c>
      <c r="K182" s="3">
        <v>131.80000000000001</v>
      </c>
      <c r="L182" s="3">
        <v>119.5</v>
      </c>
      <c r="M182" s="3">
        <v>136</v>
      </c>
      <c r="N182" s="3">
        <v>131.19999999999999</v>
      </c>
      <c r="O182" s="3">
        <v>151.80000000000001</v>
      </c>
      <c r="P182" s="3">
        <v>140.4</v>
      </c>
      <c r="Q182" s="3">
        <v>153.6</v>
      </c>
      <c r="R182" s="3">
        <v>148.30000000000001</v>
      </c>
      <c r="S182" s="3">
        <v>142.30000000000001</v>
      </c>
      <c r="T182" s="3">
        <v>147.5</v>
      </c>
      <c r="U182" s="3" t="s">
        <v>32</v>
      </c>
      <c r="V182" s="3">
        <f t="shared" si="21"/>
        <v>140.4</v>
      </c>
      <c r="W182" s="3">
        <v>142.30000000000001</v>
      </c>
      <c r="X182" s="3">
        <v>139.80000000000001</v>
      </c>
      <c r="Y182" s="3">
        <v>136</v>
      </c>
      <c r="Z182" s="3">
        <v>122.7</v>
      </c>
      <c r="AA182" s="3">
        <v>134.30000000000001</v>
      </c>
      <c r="AB182" s="3">
        <v>141.6</v>
      </c>
      <c r="AC182" s="3">
        <v>128.6</v>
      </c>
      <c r="AD182" s="3">
        <v>132.30000000000001</v>
      </c>
      <c r="AE182" s="3">
        <v>139.30000000000001</v>
      </c>
      <c r="AF182">
        <f t="shared" si="22"/>
        <v>1800.7</v>
      </c>
      <c r="AG182">
        <f t="shared" si="23"/>
        <v>438.1</v>
      </c>
      <c r="AH182">
        <f t="shared" si="24"/>
        <v>265</v>
      </c>
      <c r="AI182">
        <f t="shared" si="25"/>
        <v>421.80000000000007</v>
      </c>
      <c r="AJ182">
        <f t="shared" si="26"/>
        <v>264.60000000000002</v>
      </c>
      <c r="AK182">
        <f t="shared" si="27"/>
        <v>420.2</v>
      </c>
    </row>
    <row r="183" spans="1:37" x14ac:dyDescent="0.25">
      <c r="A183" s="6" t="s">
        <v>33</v>
      </c>
      <c r="B183" s="6">
        <v>2018</v>
      </c>
      <c r="C183" s="6" t="s">
        <v>31</v>
      </c>
      <c r="D183" s="3">
        <v>134.6</v>
      </c>
      <c r="E183" s="3">
        <v>143.69999999999999</v>
      </c>
      <c r="F183" s="3">
        <v>143.6</v>
      </c>
      <c r="G183" s="3">
        <v>139.6</v>
      </c>
      <c r="H183" s="3">
        <v>116.4</v>
      </c>
      <c r="I183" s="3">
        <v>133.80000000000001</v>
      </c>
      <c r="J183" s="3">
        <v>150.5</v>
      </c>
      <c r="K183" s="3">
        <v>118.4</v>
      </c>
      <c r="L183" s="3">
        <v>117.3</v>
      </c>
      <c r="M183" s="3">
        <v>140.5</v>
      </c>
      <c r="N183" s="3">
        <v>125.9</v>
      </c>
      <c r="O183" s="3">
        <v>146.80000000000001</v>
      </c>
      <c r="P183" s="3">
        <v>137.19999999999999</v>
      </c>
      <c r="Q183" s="3">
        <v>157.69999999999999</v>
      </c>
      <c r="R183" s="3">
        <v>136</v>
      </c>
      <c r="S183" s="3">
        <v>125.9</v>
      </c>
      <c r="T183" s="3">
        <v>134.4</v>
      </c>
      <c r="U183" s="3">
        <v>140.4</v>
      </c>
      <c r="V183" s="3">
        <f t="shared" si="21"/>
        <v>140.4</v>
      </c>
      <c r="W183" s="3">
        <v>127.3</v>
      </c>
      <c r="X183" s="3">
        <v>129.5</v>
      </c>
      <c r="Y183" s="3">
        <v>129</v>
      </c>
      <c r="Z183" s="3">
        <v>116.3</v>
      </c>
      <c r="AA183" s="3">
        <v>126.2</v>
      </c>
      <c r="AB183" s="3">
        <v>137.1</v>
      </c>
      <c r="AC183" s="3">
        <v>125.5</v>
      </c>
      <c r="AD183" s="3">
        <v>125.8</v>
      </c>
      <c r="AE183" s="3">
        <v>134.1</v>
      </c>
      <c r="AF183">
        <f t="shared" si="22"/>
        <v>1748.3000000000002</v>
      </c>
      <c r="AG183">
        <f t="shared" si="23"/>
        <v>396.29999999999995</v>
      </c>
      <c r="AH183">
        <f t="shared" si="24"/>
        <v>243.6</v>
      </c>
      <c r="AI183">
        <f t="shared" si="25"/>
        <v>407</v>
      </c>
      <c r="AJ183">
        <f t="shared" si="26"/>
        <v>254.5</v>
      </c>
      <c r="AK183">
        <f t="shared" si="27"/>
        <v>409.7</v>
      </c>
    </row>
    <row r="184" spans="1:37" x14ac:dyDescent="0.25">
      <c r="A184" s="6" t="s">
        <v>34</v>
      </c>
      <c r="B184" s="6">
        <v>2018</v>
      </c>
      <c r="C184" s="6" t="s">
        <v>31</v>
      </c>
      <c r="D184" s="3">
        <v>136</v>
      </c>
      <c r="E184" s="3">
        <v>144.19999999999999</v>
      </c>
      <c r="F184" s="3">
        <v>143.69999999999999</v>
      </c>
      <c r="G184" s="3">
        <v>141.1</v>
      </c>
      <c r="H184" s="3">
        <v>120.7</v>
      </c>
      <c r="I184" s="3">
        <v>141.30000000000001</v>
      </c>
      <c r="J184" s="3">
        <v>151.6</v>
      </c>
      <c r="K184" s="3">
        <v>127.3</v>
      </c>
      <c r="L184" s="3">
        <v>118.8</v>
      </c>
      <c r="M184" s="3">
        <v>137.5</v>
      </c>
      <c r="N184" s="3">
        <v>129</v>
      </c>
      <c r="O184" s="3">
        <v>149.5</v>
      </c>
      <c r="P184" s="3">
        <v>139.19999999999999</v>
      </c>
      <c r="Q184" s="3">
        <v>154.69999999999999</v>
      </c>
      <c r="R184" s="3">
        <v>143.5</v>
      </c>
      <c r="S184" s="3">
        <v>135.5</v>
      </c>
      <c r="T184" s="3">
        <v>142.30000000000001</v>
      </c>
      <c r="U184" s="3">
        <v>140.4</v>
      </c>
      <c r="V184" s="3">
        <f t="shared" si="21"/>
        <v>140.4</v>
      </c>
      <c r="W184" s="3">
        <v>136.6</v>
      </c>
      <c r="X184" s="3">
        <v>134.9</v>
      </c>
      <c r="Y184" s="3">
        <v>133.30000000000001</v>
      </c>
      <c r="Z184" s="3">
        <v>119.3</v>
      </c>
      <c r="AA184" s="3">
        <v>129.69999999999999</v>
      </c>
      <c r="AB184" s="3">
        <v>139</v>
      </c>
      <c r="AC184" s="3">
        <v>127.3</v>
      </c>
      <c r="AD184" s="3">
        <v>129.1</v>
      </c>
      <c r="AE184" s="3">
        <v>136.9</v>
      </c>
      <c r="AF184">
        <f t="shared" si="22"/>
        <v>1779.9</v>
      </c>
      <c r="AG184">
        <f t="shared" si="23"/>
        <v>421.3</v>
      </c>
      <c r="AH184">
        <f t="shared" si="24"/>
        <v>255.89999999999998</v>
      </c>
      <c r="AI184">
        <f t="shared" si="25"/>
        <v>414.3</v>
      </c>
      <c r="AJ184">
        <f t="shared" si="26"/>
        <v>260.60000000000002</v>
      </c>
      <c r="AK184">
        <f t="shared" si="27"/>
        <v>413.5</v>
      </c>
    </row>
    <row r="185" spans="1:37" x14ac:dyDescent="0.25">
      <c r="A185" s="6" t="s">
        <v>30</v>
      </c>
      <c r="B185" s="6">
        <v>2018</v>
      </c>
      <c r="C185" s="6" t="s">
        <v>35</v>
      </c>
      <c r="D185" s="3">
        <v>136.4</v>
      </c>
      <c r="E185" s="3">
        <v>143.69999999999999</v>
      </c>
      <c r="F185" s="3">
        <v>140.6</v>
      </c>
      <c r="G185" s="3">
        <v>141.5</v>
      </c>
      <c r="H185" s="3">
        <v>122.9</v>
      </c>
      <c r="I185" s="3">
        <v>149.4</v>
      </c>
      <c r="J185" s="3">
        <v>142.4</v>
      </c>
      <c r="K185" s="3">
        <v>130.19999999999999</v>
      </c>
      <c r="L185" s="3">
        <v>117.9</v>
      </c>
      <c r="M185" s="3">
        <v>135.6</v>
      </c>
      <c r="N185" s="3">
        <v>130.5</v>
      </c>
      <c r="O185" s="3">
        <v>151.69999999999999</v>
      </c>
      <c r="P185" s="3">
        <v>138.69999999999999</v>
      </c>
      <c r="Q185" s="3">
        <v>153.30000000000001</v>
      </c>
      <c r="R185" s="3">
        <v>148.69999999999999</v>
      </c>
      <c r="S185" s="3">
        <v>142.4</v>
      </c>
      <c r="T185" s="3">
        <v>147.80000000000001</v>
      </c>
      <c r="U185" s="3" t="s">
        <v>32</v>
      </c>
      <c r="V185" s="3">
        <f t="shared" si="21"/>
        <v>141.30000000000001</v>
      </c>
      <c r="W185" s="3">
        <v>142.4</v>
      </c>
      <c r="X185" s="3">
        <v>139.9</v>
      </c>
      <c r="Y185" s="3">
        <v>136.19999999999999</v>
      </c>
      <c r="Z185" s="3">
        <v>123.3</v>
      </c>
      <c r="AA185" s="3">
        <v>134.30000000000001</v>
      </c>
      <c r="AB185" s="3">
        <v>141.5</v>
      </c>
      <c r="AC185" s="3">
        <v>128.80000000000001</v>
      </c>
      <c r="AD185" s="3">
        <v>132.5</v>
      </c>
      <c r="AE185" s="3">
        <v>138.5</v>
      </c>
      <c r="AF185">
        <f t="shared" si="22"/>
        <v>1781.5</v>
      </c>
      <c r="AG185">
        <f t="shared" si="23"/>
        <v>438.90000000000003</v>
      </c>
      <c r="AH185">
        <f t="shared" si="24"/>
        <v>265.7</v>
      </c>
      <c r="AI185">
        <f t="shared" si="25"/>
        <v>422.70000000000005</v>
      </c>
      <c r="AJ185">
        <f t="shared" si="26"/>
        <v>265</v>
      </c>
      <c r="AK185">
        <f t="shared" si="27"/>
        <v>420.1</v>
      </c>
    </row>
    <row r="186" spans="1:37" x14ac:dyDescent="0.25">
      <c r="A186" s="6" t="s">
        <v>33</v>
      </c>
      <c r="B186" s="6">
        <v>2018</v>
      </c>
      <c r="C186" s="6" t="s">
        <v>35</v>
      </c>
      <c r="D186" s="3">
        <v>134.80000000000001</v>
      </c>
      <c r="E186" s="3">
        <v>143</v>
      </c>
      <c r="F186" s="3">
        <v>139.9</v>
      </c>
      <c r="G186" s="3">
        <v>139.9</v>
      </c>
      <c r="H186" s="3">
        <v>116.2</v>
      </c>
      <c r="I186" s="3">
        <v>135.5</v>
      </c>
      <c r="J186" s="3">
        <v>136.9</v>
      </c>
      <c r="K186" s="3">
        <v>117</v>
      </c>
      <c r="L186" s="3">
        <v>115.4</v>
      </c>
      <c r="M186" s="3">
        <v>140.69999999999999</v>
      </c>
      <c r="N186" s="3">
        <v>125.9</v>
      </c>
      <c r="O186" s="3">
        <v>147.1</v>
      </c>
      <c r="P186" s="3">
        <v>135.6</v>
      </c>
      <c r="Q186" s="3">
        <v>159.30000000000001</v>
      </c>
      <c r="R186" s="3">
        <v>136.30000000000001</v>
      </c>
      <c r="S186" s="3">
        <v>126.1</v>
      </c>
      <c r="T186" s="3">
        <v>134.69999999999999</v>
      </c>
      <c r="U186" s="3">
        <v>141.30000000000001</v>
      </c>
      <c r="V186" s="3">
        <f t="shared" si="21"/>
        <v>141.30000000000001</v>
      </c>
      <c r="W186" s="3">
        <v>127.3</v>
      </c>
      <c r="X186" s="3">
        <v>129.9</v>
      </c>
      <c r="Y186" s="3">
        <v>129.80000000000001</v>
      </c>
      <c r="Z186" s="3">
        <v>117.4</v>
      </c>
      <c r="AA186" s="3">
        <v>126.5</v>
      </c>
      <c r="AB186" s="3">
        <v>137.19999999999999</v>
      </c>
      <c r="AC186" s="3">
        <v>126.2</v>
      </c>
      <c r="AD186" s="3">
        <v>126.5</v>
      </c>
      <c r="AE186" s="3">
        <v>134</v>
      </c>
      <c r="AF186">
        <f t="shared" si="22"/>
        <v>1727.9</v>
      </c>
      <c r="AG186">
        <f t="shared" si="23"/>
        <v>397.09999999999997</v>
      </c>
      <c r="AH186">
        <f t="shared" si="24"/>
        <v>244.7</v>
      </c>
      <c r="AI186">
        <f t="shared" si="25"/>
        <v>408.40000000000003</v>
      </c>
      <c r="AJ186">
        <f t="shared" si="26"/>
        <v>256</v>
      </c>
      <c r="AK186">
        <f t="shared" si="27"/>
        <v>412.3</v>
      </c>
    </row>
    <row r="187" spans="1:37" x14ac:dyDescent="0.25">
      <c r="A187" s="6" t="s">
        <v>34</v>
      </c>
      <c r="B187" s="6">
        <v>2018</v>
      </c>
      <c r="C187" s="6" t="s">
        <v>35</v>
      </c>
      <c r="D187" s="3">
        <v>135.9</v>
      </c>
      <c r="E187" s="3">
        <v>143.5</v>
      </c>
      <c r="F187" s="3">
        <v>140.30000000000001</v>
      </c>
      <c r="G187" s="3">
        <v>140.9</v>
      </c>
      <c r="H187" s="3">
        <v>120.4</v>
      </c>
      <c r="I187" s="3">
        <v>142.9</v>
      </c>
      <c r="J187" s="3">
        <v>140.5</v>
      </c>
      <c r="K187" s="3">
        <v>125.8</v>
      </c>
      <c r="L187" s="3">
        <v>117.1</v>
      </c>
      <c r="M187" s="3">
        <v>137.30000000000001</v>
      </c>
      <c r="N187" s="3">
        <v>128.6</v>
      </c>
      <c r="O187" s="3">
        <v>149.6</v>
      </c>
      <c r="P187" s="3">
        <v>137.6</v>
      </c>
      <c r="Q187" s="3">
        <v>154.9</v>
      </c>
      <c r="R187" s="3">
        <v>143.80000000000001</v>
      </c>
      <c r="S187" s="3">
        <v>135.6</v>
      </c>
      <c r="T187" s="3">
        <v>142.6</v>
      </c>
      <c r="U187" s="3">
        <v>141.30000000000001</v>
      </c>
      <c r="V187" s="3">
        <f t="shared" si="21"/>
        <v>141.30000000000001</v>
      </c>
      <c r="W187" s="3">
        <v>136.69999999999999</v>
      </c>
      <c r="X187" s="3">
        <v>135.19999999999999</v>
      </c>
      <c r="Y187" s="3">
        <v>133.80000000000001</v>
      </c>
      <c r="Z187" s="3">
        <v>120.2</v>
      </c>
      <c r="AA187" s="3">
        <v>129.9</v>
      </c>
      <c r="AB187" s="3">
        <v>139</v>
      </c>
      <c r="AC187" s="3">
        <v>127.7</v>
      </c>
      <c r="AD187" s="3">
        <v>129.6</v>
      </c>
      <c r="AE187" s="3">
        <v>136.4</v>
      </c>
      <c r="AF187">
        <f t="shared" si="22"/>
        <v>1760.3999999999996</v>
      </c>
      <c r="AG187">
        <f t="shared" si="23"/>
        <v>422</v>
      </c>
      <c r="AH187">
        <f t="shared" si="24"/>
        <v>256.89999999999998</v>
      </c>
      <c r="AI187">
        <f t="shared" si="25"/>
        <v>415.5</v>
      </c>
      <c r="AJ187">
        <f t="shared" si="26"/>
        <v>261.5</v>
      </c>
      <c r="AK187">
        <f t="shared" si="27"/>
        <v>414.4</v>
      </c>
    </row>
    <row r="188" spans="1:37" x14ac:dyDescent="0.25">
      <c r="A188" s="6" t="s">
        <v>30</v>
      </c>
      <c r="B188" s="6">
        <v>2018</v>
      </c>
      <c r="C188" s="6" t="s">
        <v>36</v>
      </c>
      <c r="D188" s="3">
        <v>136.80000000000001</v>
      </c>
      <c r="E188" s="3">
        <v>143.80000000000001</v>
      </c>
      <c r="F188" s="3">
        <v>140</v>
      </c>
      <c r="G188" s="3">
        <v>142</v>
      </c>
      <c r="H188" s="3">
        <v>123.2</v>
      </c>
      <c r="I188" s="3">
        <v>152.9</v>
      </c>
      <c r="J188" s="3">
        <v>138</v>
      </c>
      <c r="K188" s="3">
        <v>129.30000000000001</v>
      </c>
      <c r="L188" s="3">
        <v>117.1</v>
      </c>
      <c r="M188" s="3">
        <v>136.30000000000001</v>
      </c>
      <c r="N188" s="3">
        <v>131.19999999999999</v>
      </c>
      <c r="O188" s="3">
        <v>152.80000000000001</v>
      </c>
      <c r="P188" s="3">
        <v>138.6</v>
      </c>
      <c r="Q188" s="3">
        <v>155.1</v>
      </c>
      <c r="R188" s="3">
        <v>149.19999999999999</v>
      </c>
      <c r="S188" s="3">
        <v>143</v>
      </c>
      <c r="T188" s="3">
        <v>148.30000000000001</v>
      </c>
      <c r="U188" s="3" t="s">
        <v>32</v>
      </c>
      <c r="V188" s="3">
        <f t="shared" si="21"/>
        <v>142</v>
      </c>
      <c r="W188" s="3">
        <v>142.6</v>
      </c>
      <c r="X188" s="3">
        <v>139.9</v>
      </c>
      <c r="Y188" s="3">
        <v>136.69999999999999</v>
      </c>
      <c r="Z188" s="3">
        <v>124.6</v>
      </c>
      <c r="AA188" s="3">
        <v>135.1</v>
      </c>
      <c r="AB188" s="3">
        <v>142.69999999999999</v>
      </c>
      <c r="AC188" s="3">
        <v>129.30000000000001</v>
      </c>
      <c r="AD188" s="3">
        <v>133.30000000000001</v>
      </c>
      <c r="AE188" s="3">
        <v>138.69999999999999</v>
      </c>
      <c r="AF188">
        <f t="shared" si="22"/>
        <v>1781.9999999999998</v>
      </c>
      <c r="AG188">
        <f t="shared" si="23"/>
        <v>440.5</v>
      </c>
      <c r="AH188">
        <f t="shared" si="24"/>
        <v>267.2</v>
      </c>
      <c r="AI188">
        <f t="shared" si="25"/>
        <v>424.59999999999997</v>
      </c>
      <c r="AJ188">
        <f t="shared" si="26"/>
        <v>266</v>
      </c>
      <c r="AK188">
        <f t="shared" si="27"/>
        <v>423.5</v>
      </c>
    </row>
    <row r="189" spans="1:37" x14ac:dyDescent="0.25">
      <c r="A189" s="6" t="s">
        <v>33</v>
      </c>
      <c r="B189" s="6">
        <v>2018</v>
      </c>
      <c r="C189" s="6" t="s">
        <v>36</v>
      </c>
      <c r="D189" s="3">
        <v>135</v>
      </c>
      <c r="E189" s="3">
        <v>143.1</v>
      </c>
      <c r="F189" s="3">
        <v>135.5</v>
      </c>
      <c r="G189" s="3">
        <v>139.9</v>
      </c>
      <c r="H189" s="3">
        <v>116.5</v>
      </c>
      <c r="I189" s="3">
        <v>138.5</v>
      </c>
      <c r="J189" s="3">
        <v>128</v>
      </c>
      <c r="K189" s="3">
        <v>115.5</v>
      </c>
      <c r="L189" s="3">
        <v>114.2</v>
      </c>
      <c r="M189" s="3">
        <v>140.69999999999999</v>
      </c>
      <c r="N189" s="3">
        <v>126.2</v>
      </c>
      <c r="O189" s="3">
        <v>147.6</v>
      </c>
      <c r="P189" s="3">
        <v>134.80000000000001</v>
      </c>
      <c r="Q189" s="3">
        <v>159.69999999999999</v>
      </c>
      <c r="R189" s="3">
        <v>136.69999999999999</v>
      </c>
      <c r="S189" s="3">
        <v>126.7</v>
      </c>
      <c r="T189" s="3">
        <v>135.19999999999999</v>
      </c>
      <c r="U189" s="3">
        <v>142</v>
      </c>
      <c r="V189" s="3">
        <f t="shared" si="21"/>
        <v>142</v>
      </c>
      <c r="W189" s="3">
        <v>126.4</v>
      </c>
      <c r="X189" s="3">
        <v>130.80000000000001</v>
      </c>
      <c r="Y189" s="3">
        <v>130.5</v>
      </c>
      <c r="Z189" s="3">
        <v>117.8</v>
      </c>
      <c r="AA189" s="3">
        <v>126.8</v>
      </c>
      <c r="AB189" s="3">
        <v>137.80000000000001</v>
      </c>
      <c r="AC189" s="3">
        <v>126.7</v>
      </c>
      <c r="AD189" s="3">
        <v>127.1</v>
      </c>
      <c r="AE189" s="3">
        <v>134</v>
      </c>
      <c r="AF189">
        <f t="shared" si="22"/>
        <v>1715.5</v>
      </c>
      <c r="AG189">
        <f t="shared" si="23"/>
        <v>398.59999999999997</v>
      </c>
      <c r="AH189">
        <f t="shared" si="24"/>
        <v>244.2</v>
      </c>
      <c r="AI189">
        <f t="shared" si="25"/>
        <v>410.6</v>
      </c>
      <c r="AJ189">
        <f t="shared" si="26"/>
        <v>257.2</v>
      </c>
      <c r="AK189">
        <f t="shared" si="27"/>
        <v>413.6</v>
      </c>
    </row>
    <row r="190" spans="1:37" x14ac:dyDescent="0.25">
      <c r="A190" s="6" t="s">
        <v>34</v>
      </c>
      <c r="B190" s="6">
        <v>2018</v>
      </c>
      <c r="C190" s="6" t="s">
        <v>36</v>
      </c>
      <c r="D190" s="3">
        <v>136.19999999999999</v>
      </c>
      <c r="E190" s="3">
        <v>143.6</v>
      </c>
      <c r="F190" s="3">
        <v>138.30000000000001</v>
      </c>
      <c r="G190" s="3">
        <v>141.19999999999999</v>
      </c>
      <c r="H190" s="3">
        <v>120.7</v>
      </c>
      <c r="I190" s="3">
        <v>146.19999999999999</v>
      </c>
      <c r="J190" s="3">
        <v>134.6</v>
      </c>
      <c r="K190" s="3">
        <v>124.6</v>
      </c>
      <c r="L190" s="3">
        <v>116.1</v>
      </c>
      <c r="M190" s="3">
        <v>137.80000000000001</v>
      </c>
      <c r="N190" s="3">
        <v>129.1</v>
      </c>
      <c r="O190" s="3">
        <v>150.4</v>
      </c>
      <c r="P190" s="3">
        <v>137.19999999999999</v>
      </c>
      <c r="Q190" s="3">
        <v>156.30000000000001</v>
      </c>
      <c r="R190" s="3">
        <v>144.30000000000001</v>
      </c>
      <c r="S190" s="3">
        <v>136.19999999999999</v>
      </c>
      <c r="T190" s="3">
        <v>143.1</v>
      </c>
      <c r="U190" s="3">
        <v>142</v>
      </c>
      <c r="V190" s="3">
        <f t="shared" si="21"/>
        <v>142</v>
      </c>
      <c r="W190" s="3">
        <v>136.5</v>
      </c>
      <c r="X190" s="3">
        <v>135.6</v>
      </c>
      <c r="Y190" s="3">
        <v>134.30000000000001</v>
      </c>
      <c r="Z190" s="3">
        <v>121</v>
      </c>
      <c r="AA190" s="3">
        <v>130.4</v>
      </c>
      <c r="AB190" s="3">
        <v>139.80000000000001</v>
      </c>
      <c r="AC190" s="3">
        <v>128.19999999999999</v>
      </c>
      <c r="AD190" s="3">
        <v>130.30000000000001</v>
      </c>
      <c r="AE190" s="3">
        <v>136.5</v>
      </c>
      <c r="AF190">
        <f t="shared" si="22"/>
        <v>1756</v>
      </c>
      <c r="AG190">
        <f t="shared" si="23"/>
        <v>423.6</v>
      </c>
      <c r="AH190">
        <f t="shared" si="24"/>
        <v>257.5</v>
      </c>
      <c r="AI190">
        <f t="shared" si="25"/>
        <v>417.40000000000003</v>
      </c>
      <c r="AJ190">
        <f t="shared" si="26"/>
        <v>262.5</v>
      </c>
      <c r="AK190">
        <f t="shared" si="27"/>
        <v>417.00000000000006</v>
      </c>
    </row>
    <row r="191" spans="1:37" x14ac:dyDescent="0.25">
      <c r="A191" s="6" t="s">
        <v>30</v>
      </c>
      <c r="B191" s="6">
        <v>2018</v>
      </c>
      <c r="C191" s="6" t="s">
        <v>37</v>
      </c>
      <c r="D191" s="3">
        <v>137.1</v>
      </c>
      <c r="E191" s="3">
        <v>144.5</v>
      </c>
      <c r="F191" s="3">
        <v>135.9</v>
      </c>
      <c r="G191" s="3">
        <v>142.4</v>
      </c>
      <c r="H191" s="3">
        <v>123.5</v>
      </c>
      <c r="I191" s="3">
        <v>156.4</v>
      </c>
      <c r="J191" s="3">
        <v>135.1</v>
      </c>
      <c r="K191" s="3">
        <v>128.4</v>
      </c>
      <c r="L191" s="3">
        <v>115.2</v>
      </c>
      <c r="M191" s="3">
        <v>137.19999999999999</v>
      </c>
      <c r="N191" s="3">
        <v>131.9</v>
      </c>
      <c r="O191" s="3">
        <v>153.80000000000001</v>
      </c>
      <c r="P191" s="3">
        <v>138.6</v>
      </c>
      <c r="Q191" s="3">
        <v>156.1</v>
      </c>
      <c r="R191" s="3">
        <v>150.1</v>
      </c>
      <c r="S191" s="3">
        <v>143.30000000000001</v>
      </c>
      <c r="T191" s="3">
        <v>149.1</v>
      </c>
      <c r="U191" s="3" t="s">
        <v>32</v>
      </c>
      <c r="V191" s="3">
        <f t="shared" si="21"/>
        <v>142.9</v>
      </c>
      <c r="W191" s="3">
        <v>143.80000000000001</v>
      </c>
      <c r="X191" s="3">
        <v>140.9</v>
      </c>
      <c r="Y191" s="3">
        <v>137.6</v>
      </c>
      <c r="Z191" s="3">
        <v>125.3</v>
      </c>
      <c r="AA191" s="3">
        <v>136</v>
      </c>
      <c r="AB191" s="3">
        <v>143.69999999999999</v>
      </c>
      <c r="AC191" s="3">
        <v>130.4</v>
      </c>
      <c r="AD191" s="3">
        <v>134.19999999999999</v>
      </c>
      <c r="AE191" s="3">
        <v>139.1</v>
      </c>
      <c r="AF191">
        <f t="shared" si="22"/>
        <v>1780</v>
      </c>
      <c r="AG191">
        <f t="shared" si="23"/>
        <v>442.5</v>
      </c>
      <c r="AH191">
        <f t="shared" si="24"/>
        <v>269.10000000000002</v>
      </c>
      <c r="AI191">
        <f t="shared" si="25"/>
        <v>427.5</v>
      </c>
      <c r="AJ191">
        <f t="shared" si="26"/>
        <v>268</v>
      </c>
      <c r="AK191">
        <f t="shared" si="27"/>
        <v>426.3</v>
      </c>
    </row>
    <row r="192" spans="1:37" x14ac:dyDescent="0.25">
      <c r="A192" s="6" t="s">
        <v>33</v>
      </c>
      <c r="B192" s="6">
        <v>2018</v>
      </c>
      <c r="C192" s="6" t="s">
        <v>37</v>
      </c>
      <c r="D192" s="3">
        <v>135</v>
      </c>
      <c r="E192" s="3">
        <v>144.30000000000001</v>
      </c>
      <c r="F192" s="3">
        <v>130.80000000000001</v>
      </c>
      <c r="G192" s="3">
        <v>140.30000000000001</v>
      </c>
      <c r="H192" s="3">
        <v>116.6</v>
      </c>
      <c r="I192" s="3">
        <v>150.1</v>
      </c>
      <c r="J192" s="3">
        <v>127.6</v>
      </c>
      <c r="K192" s="3">
        <v>114</v>
      </c>
      <c r="L192" s="3">
        <v>110.6</v>
      </c>
      <c r="M192" s="3">
        <v>140.19999999999999</v>
      </c>
      <c r="N192" s="3">
        <v>126.5</v>
      </c>
      <c r="O192" s="3">
        <v>148.30000000000001</v>
      </c>
      <c r="P192" s="3">
        <v>135.69999999999999</v>
      </c>
      <c r="Q192" s="3">
        <v>159.19999999999999</v>
      </c>
      <c r="R192" s="3">
        <v>137.80000000000001</v>
      </c>
      <c r="S192" s="3">
        <v>127.4</v>
      </c>
      <c r="T192" s="3">
        <v>136.19999999999999</v>
      </c>
      <c r="U192" s="3">
        <v>142.9</v>
      </c>
      <c r="V192" s="3">
        <f t="shared" si="21"/>
        <v>142.9</v>
      </c>
      <c r="W192" s="3">
        <v>124.6</v>
      </c>
      <c r="X192" s="3">
        <v>131.80000000000001</v>
      </c>
      <c r="Y192" s="3">
        <v>131.30000000000001</v>
      </c>
      <c r="Z192" s="3">
        <v>118.9</v>
      </c>
      <c r="AA192" s="3">
        <v>127.6</v>
      </c>
      <c r="AB192" s="3">
        <v>139.69999999999999</v>
      </c>
      <c r="AC192" s="3">
        <v>127.6</v>
      </c>
      <c r="AD192" s="3">
        <v>128.19999999999999</v>
      </c>
      <c r="AE192" s="3">
        <v>134.80000000000001</v>
      </c>
      <c r="AF192">
        <f t="shared" si="22"/>
        <v>1720.0000000000002</v>
      </c>
      <c r="AG192">
        <f t="shared" si="23"/>
        <v>401.40000000000003</v>
      </c>
      <c r="AH192">
        <f t="shared" si="24"/>
        <v>243.5</v>
      </c>
      <c r="AI192">
        <f t="shared" si="25"/>
        <v>414.40000000000003</v>
      </c>
      <c r="AJ192">
        <f t="shared" si="26"/>
        <v>258.89999999999998</v>
      </c>
      <c r="AK192">
        <f t="shared" si="27"/>
        <v>414.99999999999994</v>
      </c>
    </row>
    <row r="193" spans="1:37" x14ac:dyDescent="0.25">
      <c r="A193" s="6" t="s">
        <v>34</v>
      </c>
      <c r="B193" s="6">
        <v>2018</v>
      </c>
      <c r="C193" s="6" t="s">
        <v>37</v>
      </c>
      <c r="D193" s="3">
        <v>136.4</v>
      </c>
      <c r="E193" s="3">
        <v>144.4</v>
      </c>
      <c r="F193" s="3">
        <v>133.9</v>
      </c>
      <c r="G193" s="3">
        <v>141.6</v>
      </c>
      <c r="H193" s="3">
        <v>121</v>
      </c>
      <c r="I193" s="3">
        <v>153.5</v>
      </c>
      <c r="J193" s="3">
        <v>132.6</v>
      </c>
      <c r="K193" s="3">
        <v>123.5</v>
      </c>
      <c r="L193" s="3">
        <v>113.7</v>
      </c>
      <c r="M193" s="3">
        <v>138.19999999999999</v>
      </c>
      <c r="N193" s="3">
        <v>129.6</v>
      </c>
      <c r="O193" s="3">
        <v>151.19999999999999</v>
      </c>
      <c r="P193" s="3">
        <v>137.5</v>
      </c>
      <c r="Q193" s="3">
        <v>156.9</v>
      </c>
      <c r="R193" s="3">
        <v>145.30000000000001</v>
      </c>
      <c r="S193" s="3">
        <v>136.69999999999999</v>
      </c>
      <c r="T193" s="3">
        <v>144</v>
      </c>
      <c r="U193" s="3">
        <v>142.9</v>
      </c>
      <c r="V193" s="3">
        <f t="shared" si="21"/>
        <v>142.9</v>
      </c>
      <c r="W193" s="3">
        <v>136.5</v>
      </c>
      <c r="X193" s="3">
        <v>136.6</v>
      </c>
      <c r="Y193" s="3">
        <v>135.19999999999999</v>
      </c>
      <c r="Z193" s="3">
        <v>121.9</v>
      </c>
      <c r="AA193" s="3">
        <v>131.30000000000001</v>
      </c>
      <c r="AB193" s="3">
        <v>141.4</v>
      </c>
      <c r="AC193" s="3">
        <v>129.19999999999999</v>
      </c>
      <c r="AD193" s="3">
        <v>131.30000000000001</v>
      </c>
      <c r="AE193" s="3">
        <v>137.1</v>
      </c>
      <c r="AF193">
        <f t="shared" si="22"/>
        <v>1757.1000000000001</v>
      </c>
      <c r="AG193">
        <f t="shared" si="23"/>
        <v>426</v>
      </c>
      <c r="AH193">
        <f t="shared" si="24"/>
        <v>258.39999999999998</v>
      </c>
      <c r="AI193">
        <f t="shared" si="25"/>
        <v>420.9</v>
      </c>
      <c r="AJ193">
        <f t="shared" si="26"/>
        <v>264.39999999999998</v>
      </c>
      <c r="AK193">
        <f t="shared" si="27"/>
        <v>419.50000000000006</v>
      </c>
    </row>
    <row r="194" spans="1:37" x14ac:dyDescent="0.25">
      <c r="A194" s="6" t="s">
        <v>30</v>
      </c>
      <c r="B194" s="6">
        <v>2018</v>
      </c>
      <c r="C194" s="6" t="s">
        <v>38</v>
      </c>
      <c r="D194" s="3">
        <v>137.4</v>
      </c>
      <c r="E194" s="3">
        <v>145.69999999999999</v>
      </c>
      <c r="F194" s="3">
        <v>135.5</v>
      </c>
      <c r="G194" s="3">
        <v>142.9</v>
      </c>
      <c r="H194" s="3">
        <v>123.6</v>
      </c>
      <c r="I194" s="3">
        <v>157.5</v>
      </c>
      <c r="J194" s="3">
        <v>137.80000000000001</v>
      </c>
      <c r="K194" s="3">
        <v>127.2</v>
      </c>
      <c r="L194" s="3">
        <v>111.8</v>
      </c>
      <c r="M194" s="3">
        <v>137.4</v>
      </c>
      <c r="N194" s="3">
        <v>132.19999999999999</v>
      </c>
      <c r="O194" s="3">
        <v>154.30000000000001</v>
      </c>
      <c r="P194" s="3">
        <v>139.1</v>
      </c>
      <c r="Q194" s="3">
        <v>157</v>
      </c>
      <c r="R194" s="3">
        <v>150.80000000000001</v>
      </c>
      <c r="S194" s="3">
        <v>144.1</v>
      </c>
      <c r="T194" s="3">
        <v>149.80000000000001</v>
      </c>
      <c r="U194" s="3" t="s">
        <v>32</v>
      </c>
      <c r="V194" s="3">
        <f t="shared" ref="V194:V257" si="28">IF(U194="NA",AVERAGE(U195,U196),U194)</f>
        <v>143.19999999999999</v>
      </c>
      <c r="W194" s="3">
        <v>144.30000000000001</v>
      </c>
      <c r="X194" s="3">
        <v>141.80000000000001</v>
      </c>
      <c r="Y194" s="3">
        <v>138.4</v>
      </c>
      <c r="Z194" s="3">
        <v>126.4</v>
      </c>
      <c r="AA194" s="3">
        <v>136.80000000000001</v>
      </c>
      <c r="AB194" s="3">
        <v>144.4</v>
      </c>
      <c r="AC194" s="3">
        <v>131.19999999999999</v>
      </c>
      <c r="AD194" s="3">
        <v>135.1</v>
      </c>
      <c r="AE194" s="3">
        <v>139.80000000000001</v>
      </c>
      <c r="AF194">
        <f t="shared" si="22"/>
        <v>1782.4</v>
      </c>
      <c r="AG194">
        <f t="shared" si="23"/>
        <v>444.7</v>
      </c>
      <c r="AH194">
        <f t="shared" si="24"/>
        <v>270.70000000000005</v>
      </c>
      <c r="AI194">
        <f t="shared" si="25"/>
        <v>429.4</v>
      </c>
      <c r="AJ194">
        <f t="shared" si="26"/>
        <v>269.60000000000002</v>
      </c>
      <c r="AK194">
        <f t="shared" si="27"/>
        <v>428.9</v>
      </c>
    </row>
    <row r="195" spans="1:37" x14ac:dyDescent="0.25">
      <c r="A195" s="6" t="s">
        <v>33</v>
      </c>
      <c r="B195" s="6">
        <v>2018</v>
      </c>
      <c r="C195" s="6" t="s">
        <v>38</v>
      </c>
      <c r="D195" s="3">
        <v>135</v>
      </c>
      <c r="E195" s="3">
        <v>148.19999999999999</v>
      </c>
      <c r="F195" s="3">
        <v>130.5</v>
      </c>
      <c r="G195" s="3">
        <v>140.69999999999999</v>
      </c>
      <c r="H195" s="3">
        <v>116.4</v>
      </c>
      <c r="I195" s="3">
        <v>151.30000000000001</v>
      </c>
      <c r="J195" s="3">
        <v>131.4</v>
      </c>
      <c r="K195" s="3">
        <v>112.8</v>
      </c>
      <c r="L195" s="3">
        <v>105.3</v>
      </c>
      <c r="M195" s="3">
        <v>139.6</v>
      </c>
      <c r="N195" s="3">
        <v>126.6</v>
      </c>
      <c r="O195" s="3">
        <v>148.69999999999999</v>
      </c>
      <c r="P195" s="3">
        <v>136.4</v>
      </c>
      <c r="Q195" s="3">
        <v>160.30000000000001</v>
      </c>
      <c r="R195" s="3">
        <v>138.6</v>
      </c>
      <c r="S195" s="3">
        <v>127.9</v>
      </c>
      <c r="T195" s="3">
        <v>137</v>
      </c>
      <c r="U195" s="3">
        <v>143.19999999999999</v>
      </c>
      <c r="V195" s="3">
        <f t="shared" si="28"/>
        <v>143.19999999999999</v>
      </c>
      <c r="W195" s="3">
        <v>124.7</v>
      </c>
      <c r="X195" s="3">
        <v>132.5</v>
      </c>
      <c r="Y195" s="3">
        <v>132</v>
      </c>
      <c r="Z195" s="3">
        <v>119.8</v>
      </c>
      <c r="AA195" s="3">
        <v>128</v>
      </c>
      <c r="AB195" s="3">
        <v>140.4</v>
      </c>
      <c r="AC195" s="3">
        <v>128.1</v>
      </c>
      <c r="AD195" s="3">
        <v>128.9</v>
      </c>
      <c r="AE195" s="3">
        <v>135.4</v>
      </c>
      <c r="AF195">
        <f t="shared" ref="AF195:AF258" si="29">SUM(D195,E195,F195,G195,H195,I195,J195,K195,L195,M195,N195,O195,P195)</f>
        <v>1722.8999999999999</v>
      </c>
      <c r="AG195">
        <f t="shared" ref="AG195:AG258" si="30">SUM(R195,S195,T195)</f>
        <v>403.5</v>
      </c>
      <c r="AH195">
        <f t="shared" ref="AH195:AH258" si="31">SUM(W195,Z195)</f>
        <v>244.5</v>
      </c>
      <c r="AI195">
        <f t="shared" ref="AI195:AI258" si="32">SUM(V195,X195,AB195)</f>
        <v>416.1</v>
      </c>
      <c r="AJ195">
        <f t="shared" ref="AJ195:AJ258" si="33">SUM(Y195,AC195)</f>
        <v>260.10000000000002</v>
      </c>
      <c r="AK195">
        <f t="shared" ref="AK195:AK258" si="34">SUM(Q195,AA195,AD195)</f>
        <v>417.20000000000005</v>
      </c>
    </row>
    <row r="196" spans="1:37" x14ac:dyDescent="0.25">
      <c r="A196" s="6" t="s">
        <v>34</v>
      </c>
      <c r="B196" s="6">
        <v>2018</v>
      </c>
      <c r="C196" s="6" t="s">
        <v>38</v>
      </c>
      <c r="D196" s="3">
        <v>136.6</v>
      </c>
      <c r="E196" s="3">
        <v>146.6</v>
      </c>
      <c r="F196" s="3">
        <v>133.6</v>
      </c>
      <c r="G196" s="3">
        <v>142.1</v>
      </c>
      <c r="H196" s="3">
        <v>121</v>
      </c>
      <c r="I196" s="3">
        <v>154.6</v>
      </c>
      <c r="J196" s="3">
        <v>135.6</v>
      </c>
      <c r="K196" s="3">
        <v>122.3</v>
      </c>
      <c r="L196" s="3">
        <v>109.6</v>
      </c>
      <c r="M196" s="3">
        <v>138.1</v>
      </c>
      <c r="N196" s="3">
        <v>129.9</v>
      </c>
      <c r="O196" s="3">
        <v>151.69999999999999</v>
      </c>
      <c r="P196" s="3">
        <v>138.1</v>
      </c>
      <c r="Q196" s="3">
        <v>157.9</v>
      </c>
      <c r="R196" s="3">
        <v>146</v>
      </c>
      <c r="S196" s="3">
        <v>137.4</v>
      </c>
      <c r="T196" s="3">
        <v>144.69999999999999</v>
      </c>
      <c r="U196" s="3">
        <v>143.19999999999999</v>
      </c>
      <c r="V196" s="3">
        <f t="shared" si="28"/>
        <v>143.19999999999999</v>
      </c>
      <c r="W196" s="3">
        <v>136.9</v>
      </c>
      <c r="X196" s="3">
        <v>137.4</v>
      </c>
      <c r="Y196" s="3">
        <v>136</v>
      </c>
      <c r="Z196" s="3">
        <v>122.9</v>
      </c>
      <c r="AA196" s="3">
        <v>131.80000000000001</v>
      </c>
      <c r="AB196" s="3">
        <v>142.1</v>
      </c>
      <c r="AC196" s="3">
        <v>129.9</v>
      </c>
      <c r="AD196" s="3">
        <v>132.1</v>
      </c>
      <c r="AE196" s="3">
        <v>137.80000000000001</v>
      </c>
      <c r="AF196">
        <f t="shared" si="29"/>
        <v>1759.8</v>
      </c>
      <c r="AG196">
        <f t="shared" si="30"/>
        <v>428.09999999999997</v>
      </c>
      <c r="AH196">
        <f t="shared" si="31"/>
        <v>259.8</v>
      </c>
      <c r="AI196">
        <f t="shared" si="32"/>
        <v>422.70000000000005</v>
      </c>
      <c r="AJ196">
        <f t="shared" si="33"/>
        <v>265.89999999999998</v>
      </c>
      <c r="AK196">
        <f t="shared" si="34"/>
        <v>421.80000000000007</v>
      </c>
    </row>
    <row r="197" spans="1:37" x14ac:dyDescent="0.25">
      <c r="A197" s="6" t="s">
        <v>30</v>
      </c>
      <c r="B197" s="6">
        <v>2018</v>
      </c>
      <c r="C197" s="6" t="s">
        <v>39</v>
      </c>
      <c r="D197" s="3">
        <v>137.6</v>
      </c>
      <c r="E197" s="3">
        <v>148.1</v>
      </c>
      <c r="F197" s="3">
        <v>136.69999999999999</v>
      </c>
      <c r="G197" s="3">
        <v>143.19999999999999</v>
      </c>
      <c r="H197" s="3">
        <v>124</v>
      </c>
      <c r="I197" s="3">
        <v>154.1</v>
      </c>
      <c r="J197" s="3">
        <v>143.5</v>
      </c>
      <c r="K197" s="3">
        <v>126</v>
      </c>
      <c r="L197" s="3">
        <v>112.4</v>
      </c>
      <c r="M197" s="3">
        <v>137.6</v>
      </c>
      <c r="N197" s="3">
        <v>132.80000000000001</v>
      </c>
      <c r="O197" s="3">
        <v>154.30000000000001</v>
      </c>
      <c r="P197" s="3">
        <v>140</v>
      </c>
      <c r="Q197" s="3">
        <v>157.30000000000001</v>
      </c>
      <c r="R197" s="3">
        <v>151.30000000000001</v>
      </c>
      <c r="S197" s="3">
        <v>144.69999999999999</v>
      </c>
      <c r="T197" s="3">
        <v>150.30000000000001</v>
      </c>
      <c r="U197" s="3" t="s">
        <v>32</v>
      </c>
      <c r="V197" s="3">
        <f t="shared" si="28"/>
        <v>142.5</v>
      </c>
      <c r="W197" s="3">
        <v>145.1</v>
      </c>
      <c r="X197" s="3">
        <v>142.19999999999999</v>
      </c>
      <c r="Y197" s="3">
        <v>138.4</v>
      </c>
      <c r="Z197" s="3">
        <v>127.4</v>
      </c>
      <c r="AA197" s="3">
        <v>137.80000000000001</v>
      </c>
      <c r="AB197" s="3">
        <v>145.1</v>
      </c>
      <c r="AC197" s="3">
        <v>131.4</v>
      </c>
      <c r="AD197" s="3">
        <v>135.6</v>
      </c>
      <c r="AE197" s="3">
        <v>140.5</v>
      </c>
      <c r="AF197">
        <f t="shared" si="29"/>
        <v>1790.2999999999997</v>
      </c>
      <c r="AG197">
        <f t="shared" si="30"/>
        <v>446.3</v>
      </c>
      <c r="AH197">
        <f t="shared" si="31"/>
        <v>272.5</v>
      </c>
      <c r="AI197">
        <f t="shared" si="32"/>
        <v>429.79999999999995</v>
      </c>
      <c r="AJ197">
        <f t="shared" si="33"/>
        <v>269.8</v>
      </c>
      <c r="AK197">
        <f t="shared" si="34"/>
        <v>430.70000000000005</v>
      </c>
    </row>
    <row r="198" spans="1:37" x14ac:dyDescent="0.25">
      <c r="A198" s="6" t="s">
        <v>33</v>
      </c>
      <c r="B198" s="6">
        <v>2018</v>
      </c>
      <c r="C198" s="6" t="s">
        <v>39</v>
      </c>
      <c r="D198" s="3">
        <v>135.30000000000001</v>
      </c>
      <c r="E198" s="3">
        <v>149.69999999999999</v>
      </c>
      <c r="F198" s="3">
        <v>133.9</v>
      </c>
      <c r="G198" s="3">
        <v>140.80000000000001</v>
      </c>
      <c r="H198" s="3">
        <v>116.6</v>
      </c>
      <c r="I198" s="3">
        <v>152.19999999999999</v>
      </c>
      <c r="J198" s="3">
        <v>144</v>
      </c>
      <c r="K198" s="3">
        <v>112.3</v>
      </c>
      <c r="L198" s="3">
        <v>108.4</v>
      </c>
      <c r="M198" s="3">
        <v>140</v>
      </c>
      <c r="N198" s="3">
        <v>126.7</v>
      </c>
      <c r="O198" s="3">
        <v>149</v>
      </c>
      <c r="P198" s="3">
        <v>138.4</v>
      </c>
      <c r="Q198" s="3">
        <v>161</v>
      </c>
      <c r="R198" s="3">
        <v>138.9</v>
      </c>
      <c r="S198" s="3">
        <v>128.69999999999999</v>
      </c>
      <c r="T198" s="3">
        <v>137.4</v>
      </c>
      <c r="U198" s="3">
        <v>142.5</v>
      </c>
      <c r="V198" s="3">
        <f t="shared" si="28"/>
        <v>142.5</v>
      </c>
      <c r="W198" s="3">
        <v>126.5</v>
      </c>
      <c r="X198" s="3">
        <v>133.1</v>
      </c>
      <c r="Y198" s="3">
        <v>132.6</v>
      </c>
      <c r="Z198" s="3">
        <v>120.4</v>
      </c>
      <c r="AA198" s="3">
        <v>128.5</v>
      </c>
      <c r="AB198" s="3">
        <v>141.19999999999999</v>
      </c>
      <c r="AC198" s="3">
        <v>128.19999999999999</v>
      </c>
      <c r="AD198" s="3">
        <v>129.5</v>
      </c>
      <c r="AE198" s="3">
        <v>136.19999999999999</v>
      </c>
      <c r="AF198">
        <f t="shared" si="29"/>
        <v>1747.3000000000002</v>
      </c>
      <c r="AG198">
        <f t="shared" si="30"/>
        <v>405</v>
      </c>
      <c r="AH198">
        <f t="shared" si="31"/>
        <v>246.9</v>
      </c>
      <c r="AI198">
        <f t="shared" si="32"/>
        <v>416.8</v>
      </c>
      <c r="AJ198">
        <f t="shared" si="33"/>
        <v>260.79999999999995</v>
      </c>
      <c r="AK198">
        <f t="shared" si="34"/>
        <v>419</v>
      </c>
    </row>
    <row r="199" spans="1:37" x14ac:dyDescent="0.25">
      <c r="A199" s="6" t="s">
        <v>34</v>
      </c>
      <c r="B199" s="6">
        <v>2018</v>
      </c>
      <c r="C199" s="6" t="s">
        <v>39</v>
      </c>
      <c r="D199" s="3">
        <v>136.9</v>
      </c>
      <c r="E199" s="3">
        <v>148.69999999999999</v>
      </c>
      <c r="F199" s="3">
        <v>135.6</v>
      </c>
      <c r="G199" s="3">
        <v>142.30000000000001</v>
      </c>
      <c r="H199" s="3">
        <v>121.3</v>
      </c>
      <c r="I199" s="3">
        <v>153.19999999999999</v>
      </c>
      <c r="J199" s="3">
        <v>143.69999999999999</v>
      </c>
      <c r="K199" s="3">
        <v>121.4</v>
      </c>
      <c r="L199" s="3">
        <v>111.1</v>
      </c>
      <c r="M199" s="3">
        <v>138.4</v>
      </c>
      <c r="N199" s="3">
        <v>130.30000000000001</v>
      </c>
      <c r="O199" s="3">
        <v>151.80000000000001</v>
      </c>
      <c r="P199" s="3">
        <v>139.4</v>
      </c>
      <c r="Q199" s="3">
        <v>158.30000000000001</v>
      </c>
      <c r="R199" s="3">
        <v>146.4</v>
      </c>
      <c r="S199" s="3">
        <v>138.1</v>
      </c>
      <c r="T199" s="3">
        <v>145.19999999999999</v>
      </c>
      <c r="U199" s="3">
        <v>142.5</v>
      </c>
      <c r="V199" s="3">
        <f t="shared" si="28"/>
        <v>142.5</v>
      </c>
      <c r="W199" s="3">
        <v>138.1</v>
      </c>
      <c r="X199" s="3">
        <v>137.9</v>
      </c>
      <c r="Y199" s="3">
        <v>136.19999999999999</v>
      </c>
      <c r="Z199" s="3">
        <v>123.7</v>
      </c>
      <c r="AA199" s="3">
        <v>132.6</v>
      </c>
      <c r="AB199" s="3">
        <v>142.80000000000001</v>
      </c>
      <c r="AC199" s="3">
        <v>130.1</v>
      </c>
      <c r="AD199" s="3">
        <v>132.6</v>
      </c>
      <c r="AE199" s="3">
        <v>138.5</v>
      </c>
      <c r="AF199">
        <f t="shared" si="29"/>
        <v>1774.1000000000001</v>
      </c>
      <c r="AG199">
        <f t="shared" si="30"/>
        <v>429.7</v>
      </c>
      <c r="AH199">
        <f t="shared" si="31"/>
        <v>261.8</v>
      </c>
      <c r="AI199">
        <f t="shared" si="32"/>
        <v>423.2</v>
      </c>
      <c r="AJ199">
        <f t="shared" si="33"/>
        <v>266.29999999999995</v>
      </c>
      <c r="AK199">
        <f t="shared" si="34"/>
        <v>423.5</v>
      </c>
    </row>
    <row r="200" spans="1:37" x14ac:dyDescent="0.25">
      <c r="A200" s="6" t="s">
        <v>30</v>
      </c>
      <c r="B200" s="6">
        <v>2018</v>
      </c>
      <c r="C200" s="6" t="s">
        <v>40</v>
      </c>
      <c r="D200" s="3">
        <v>138.4</v>
      </c>
      <c r="E200" s="3">
        <v>149.30000000000001</v>
      </c>
      <c r="F200" s="3">
        <v>139.30000000000001</v>
      </c>
      <c r="G200" s="3">
        <v>143.4</v>
      </c>
      <c r="H200" s="3">
        <v>124.1</v>
      </c>
      <c r="I200" s="3">
        <v>153.30000000000001</v>
      </c>
      <c r="J200" s="3">
        <v>154.19999999999999</v>
      </c>
      <c r="K200" s="3">
        <v>126.4</v>
      </c>
      <c r="L200" s="3">
        <v>114.3</v>
      </c>
      <c r="M200" s="3">
        <v>138.19999999999999</v>
      </c>
      <c r="N200" s="3">
        <v>132.80000000000001</v>
      </c>
      <c r="O200" s="3">
        <v>154.80000000000001</v>
      </c>
      <c r="P200" s="3">
        <v>142</v>
      </c>
      <c r="Q200" s="3">
        <v>156.1</v>
      </c>
      <c r="R200" s="3">
        <v>151.5</v>
      </c>
      <c r="S200" s="3">
        <v>145.1</v>
      </c>
      <c r="T200" s="3">
        <v>150.6</v>
      </c>
      <c r="U200" s="3" t="s">
        <v>32</v>
      </c>
      <c r="V200" s="3">
        <f t="shared" si="28"/>
        <v>143.6</v>
      </c>
      <c r="W200" s="3">
        <v>146.80000000000001</v>
      </c>
      <c r="X200" s="3">
        <v>143.1</v>
      </c>
      <c r="Y200" s="3">
        <v>139</v>
      </c>
      <c r="Z200" s="3">
        <v>127.5</v>
      </c>
      <c r="AA200" s="3">
        <v>138.4</v>
      </c>
      <c r="AB200" s="3">
        <v>145.80000000000001</v>
      </c>
      <c r="AC200" s="3">
        <v>131.4</v>
      </c>
      <c r="AD200" s="3">
        <v>136</v>
      </c>
      <c r="AE200" s="3">
        <v>141.80000000000001</v>
      </c>
      <c r="AF200">
        <f t="shared" si="29"/>
        <v>1810.5000000000002</v>
      </c>
      <c r="AG200">
        <f t="shared" si="30"/>
        <v>447.20000000000005</v>
      </c>
      <c r="AH200">
        <f t="shared" si="31"/>
        <v>274.3</v>
      </c>
      <c r="AI200">
        <f t="shared" si="32"/>
        <v>432.5</v>
      </c>
      <c r="AJ200">
        <f t="shared" si="33"/>
        <v>270.39999999999998</v>
      </c>
      <c r="AK200">
        <f t="shared" si="34"/>
        <v>430.5</v>
      </c>
    </row>
    <row r="201" spans="1:37" x14ac:dyDescent="0.25">
      <c r="A201" s="6" t="s">
        <v>33</v>
      </c>
      <c r="B201" s="6">
        <v>2018</v>
      </c>
      <c r="C201" s="6" t="s">
        <v>40</v>
      </c>
      <c r="D201" s="3">
        <v>135.6</v>
      </c>
      <c r="E201" s="3">
        <v>148.6</v>
      </c>
      <c r="F201" s="3">
        <v>139.1</v>
      </c>
      <c r="G201" s="3">
        <v>141</v>
      </c>
      <c r="H201" s="3">
        <v>116.7</v>
      </c>
      <c r="I201" s="3">
        <v>149.69999999999999</v>
      </c>
      <c r="J201" s="3">
        <v>159.19999999999999</v>
      </c>
      <c r="K201" s="3">
        <v>112.6</v>
      </c>
      <c r="L201" s="3">
        <v>111.8</v>
      </c>
      <c r="M201" s="3">
        <v>140.30000000000001</v>
      </c>
      <c r="N201" s="3">
        <v>126.8</v>
      </c>
      <c r="O201" s="3">
        <v>149.4</v>
      </c>
      <c r="P201" s="3">
        <v>140.30000000000001</v>
      </c>
      <c r="Q201" s="3">
        <v>161.4</v>
      </c>
      <c r="R201" s="3">
        <v>139.6</v>
      </c>
      <c r="S201" s="3">
        <v>128.9</v>
      </c>
      <c r="T201" s="3">
        <v>137.9</v>
      </c>
      <c r="U201" s="3">
        <v>143.6</v>
      </c>
      <c r="V201" s="3">
        <f t="shared" si="28"/>
        <v>143.6</v>
      </c>
      <c r="W201" s="3">
        <v>128.1</v>
      </c>
      <c r="X201" s="3">
        <v>133.6</v>
      </c>
      <c r="Y201" s="3">
        <v>133.6</v>
      </c>
      <c r="Z201" s="3">
        <v>120.1</v>
      </c>
      <c r="AA201" s="3">
        <v>129</v>
      </c>
      <c r="AB201" s="3">
        <v>144</v>
      </c>
      <c r="AC201" s="3">
        <v>128.19999999999999</v>
      </c>
      <c r="AD201" s="3">
        <v>130.19999999999999</v>
      </c>
      <c r="AE201" s="3">
        <v>137.5</v>
      </c>
      <c r="AF201">
        <f t="shared" si="29"/>
        <v>1771.1</v>
      </c>
      <c r="AG201">
        <f t="shared" si="30"/>
        <v>406.4</v>
      </c>
      <c r="AH201">
        <f t="shared" si="31"/>
        <v>248.2</v>
      </c>
      <c r="AI201">
        <f t="shared" si="32"/>
        <v>421.2</v>
      </c>
      <c r="AJ201">
        <f t="shared" si="33"/>
        <v>261.79999999999995</v>
      </c>
      <c r="AK201">
        <f t="shared" si="34"/>
        <v>420.59999999999997</v>
      </c>
    </row>
    <row r="202" spans="1:37" x14ac:dyDescent="0.25">
      <c r="A202" s="6" t="s">
        <v>34</v>
      </c>
      <c r="B202" s="6">
        <v>2018</v>
      </c>
      <c r="C202" s="6" t="s">
        <v>40</v>
      </c>
      <c r="D202" s="3">
        <v>137.5</v>
      </c>
      <c r="E202" s="3">
        <v>149.1</v>
      </c>
      <c r="F202" s="3">
        <v>139.19999999999999</v>
      </c>
      <c r="G202" s="3">
        <v>142.5</v>
      </c>
      <c r="H202" s="3">
        <v>121.4</v>
      </c>
      <c r="I202" s="3">
        <v>151.6</v>
      </c>
      <c r="J202" s="3">
        <v>155.9</v>
      </c>
      <c r="K202" s="3">
        <v>121.7</v>
      </c>
      <c r="L202" s="3">
        <v>113.5</v>
      </c>
      <c r="M202" s="3">
        <v>138.9</v>
      </c>
      <c r="N202" s="3">
        <v>130.30000000000001</v>
      </c>
      <c r="O202" s="3">
        <v>152.30000000000001</v>
      </c>
      <c r="P202" s="3">
        <v>141.4</v>
      </c>
      <c r="Q202" s="3">
        <v>157.5</v>
      </c>
      <c r="R202" s="3">
        <v>146.80000000000001</v>
      </c>
      <c r="S202" s="3">
        <v>138.4</v>
      </c>
      <c r="T202" s="3">
        <v>145.6</v>
      </c>
      <c r="U202" s="3">
        <v>143.6</v>
      </c>
      <c r="V202" s="3">
        <f t="shared" si="28"/>
        <v>143.6</v>
      </c>
      <c r="W202" s="3">
        <v>139.69999999999999</v>
      </c>
      <c r="X202" s="3">
        <v>138.6</v>
      </c>
      <c r="Y202" s="3">
        <v>137</v>
      </c>
      <c r="Z202" s="3">
        <v>123.6</v>
      </c>
      <c r="AA202" s="3">
        <v>133.1</v>
      </c>
      <c r="AB202" s="3">
        <v>144.69999999999999</v>
      </c>
      <c r="AC202" s="3">
        <v>130.1</v>
      </c>
      <c r="AD202" s="3">
        <v>133.19999999999999</v>
      </c>
      <c r="AE202" s="3">
        <v>139.80000000000001</v>
      </c>
      <c r="AF202">
        <f t="shared" si="29"/>
        <v>1795.3</v>
      </c>
      <c r="AG202">
        <f t="shared" si="30"/>
        <v>430.80000000000007</v>
      </c>
      <c r="AH202">
        <f t="shared" si="31"/>
        <v>263.29999999999995</v>
      </c>
      <c r="AI202">
        <f t="shared" si="32"/>
        <v>426.9</v>
      </c>
      <c r="AJ202">
        <f t="shared" si="33"/>
        <v>267.10000000000002</v>
      </c>
      <c r="AK202">
        <f t="shared" si="34"/>
        <v>423.8</v>
      </c>
    </row>
    <row r="203" spans="1:37" x14ac:dyDescent="0.25">
      <c r="A203" s="6" t="s">
        <v>30</v>
      </c>
      <c r="B203" s="6">
        <v>2018</v>
      </c>
      <c r="C203" s="6" t="s">
        <v>41</v>
      </c>
      <c r="D203" s="3">
        <v>139.19999999999999</v>
      </c>
      <c r="E203" s="3">
        <v>148.80000000000001</v>
      </c>
      <c r="F203" s="3">
        <v>139.1</v>
      </c>
      <c r="G203" s="3">
        <v>143.5</v>
      </c>
      <c r="H203" s="3">
        <v>125</v>
      </c>
      <c r="I203" s="3">
        <v>154.4</v>
      </c>
      <c r="J203" s="3">
        <v>156.30000000000001</v>
      </c>
      <c r="K203" s="3">
        <v>126.8</v>
      </c>
      <c r="L203" s="3">
        <v>115.4</v>
      </c>
      <c r="M203" s="3">
        <v>138.6</v>
      </c>
      <c r="N203" s="3">
        <v>133.80000000000001</v>
      </c>
      <c r="O203" s="3">
        <v>155.19999999999999</v>
      </c>
      <c r="P203" s="3">
        <v>142.69999999999999</v>
      </c>
      <c r="Q203" s="3">
        <v>156.4</v>
      </c>
      <c r="R203" s="3">
        <v>152.1</v>
      </c>
      <c r="S203" s="3">
        <v>145.80000000000001</v>
      </c>
      <c r="T203" s="3">
        <v>151.30000000000001</v>
      </c>
      <c r="U203" s="3" t="s">
        <v>32</v>
      </c>
      <c r="V203" s="3">
        <f t="shared" si="28"/>
        <v>144.6</v>
      </c>
      <c r="W203" s="3">
        <v>147.69999999999999</v>
      </c>
      <c r="X203" s="3">
        <v>143.80000000000001</v>
      </c>
      <c r="Y203" s="3">
        <v>139.4</v>
      </c>
      <c r="Z203" s="3">
        <v>128.30000000000001</v>
      </c>
      <c r="AA203" s="3">
        <v>138.6</v>
      </c>
      <c r="AB203" s="3">
        <v>146.9</v>
      </c>
      <c r="AC203" s="3">
        <v>131.30000000000001</v>
      </c>
      <c r="AD203" s="3">
        <v>136.6</v>
      </c>
      <c r="AE203" s="3">
        <v>142.5</v>
      </c>
      <c r="AF203">
        <f t="shared" si="29"/>
        <v>1818.8</v>
      </c>
      <c r="AG203">
        <f t="shared" si="30"/>
        <v>449.2</v>
      </c>
      <c r="AH203">
        <f t="shared" si="31"/>
        <v>276</v>
      </c>
      <c r="AI203">
        <f t="shared" si="32"/>
        <v>435.29999999999995</v>
      </c>
      <c r="AJ203">
        <f t="shared" si="33"/>
        <v>270.70000000000005</v>
      </c>
      <c r="AK203">
        <f t="shared" si="34"/>
        <v>431.6</v>
      </c>
    </row>
    <row r="204" spans="1:37" x14ac:dyDescent="0.25">
      <c r="A204" s="6" t="s">
        <v>33</v>
      </c>
      <c r="B204" s="6">
        <v>2018</v>
      </c>
      <c r="C204" s="6" t="s">
        <v>41</v>
      </c>
      <c r="D204" s="3">
        <v>136.5</v>
      </c>
      <c r="E204" s="3">
        <v>146.4</v>
      </c>
      <c r="F204" s="3">
        <v>136.6</v>
      </c>
      <c r="G204" s="3">
        <v>141.19999999999999</v>
      </c>
      <c r="H204" s="3">
        <v>117.4</v>
      </c>
      <c r="I204" s="3">
        <v>146.30000000000001</v>
      </c>
      <c r="J204" s="3">
        <v>157.30000000000001</v>
      </c>
      <c r="K204" s="3">
        <v>113.6</v>
      </c>
      <c r="L204" s="3">
        <v>113.3</v>
      </c>
      <c r="M204" s="3">
        <v>141.1</v>
      </c>
      <c r="N204" s="3">
        <v>127.4</v>
      </c>
      <c r="O204" s="3">
        <v>150.4</v>
      </c>
      <c r="P204" s="3">
        <v>140.1</v>
      </c>
      <c r="Q204" s="3">
        <v>162.1</v>
      </c>
      <c r="R204" s="3">
        <v>140</v>
      </c>
      <c r="S204" s="3">
        <v>129</v>
      </c>
      <c r="T204" s="3">
        <v>138.30000000000001</v>
      </c>
      <c r="U204" s="3">
        <v>144.6</v>
      </c>
      <c r="V204" s="3">
        <f t="shared" si="28"/>
        <v>144.6</v>
      </c>
      <c r="W204" s="3">
        <v>129.80000000000001</v>
      </c>
      <c r="X204" s="3">
        <v>134.4</v>
      </c>
      <c r="Y204" s="3">
        <v>134.9</v>
      </c>
      <c r="Z204" s="3">
        <v>120.7</v>
      </c>
      <c r="AA204" s="3">
        <v>129.80000000000001</v>
      </c>
      <c r="AB204" s="3">
        <v>145.30000000000001</v>
      </c>
      <c r="AC204" s="3">
        <v>128.30000000000001</v>
      </c>
      <c r="AD204" s="3">
        <v>131</v>
      </c>
      <c r="AE204" s="3">
        <v>138</v>
      </c>
      <c r="AF204">
        <f t="shared" si="29"/>
        <v>1767.6</v>
      </c>
      <c r="AG204">
        <f t="shared" si="30"/>
        <v>407.3</v>
      </c>
      <c r="AH204">
        <f t="shared" si="31"/>
        <v>250.5</v>
      </c>
      <c r="AI204">
        <f t="shared" si="32"/>
        <v>424.3</v>
      </c>
      <c r="AJ204">
        <f t="shared" si="33"/>
        <v>263.20000000000005</v>
      </c>
      <c r="AK204">
        <f t="shared" si="34"/>
        <v>422.9</v>
      </c>
    </row>
    <row r="205" spans="1:37" x14ac:dyDescent="0.25">
      <c r="A205" s="6" t="s">
        <v>34</v>
      </c>
      <c r="B205" s="6">
        <v>2018</v>
      </c>
      <c r="C205" s="6" t="s">
        <v>41</v>
      </c>
      <c r="D205" s="3">
        <v>138.30000000000001</v>
      </c>
      <c r="E205" s="3">
        <v>148</v>
      </c>
      <c r="F205" s="3">
        <v>138.1</v>
      </c>
      <c r="G205" s="3">
        <v>142.6</v>
      </c>
      <c r="H205" s="3">
        <v>122.2</v>
      </c>
      <c r="I205" s="3">
        <v>150.6</v>
      </c>
      <c r="J205" s="3">
        <v>156.6</v>
      </c>
      <c r="K205" s="3">
        <v>122.4</v>
      </c>
      <c r="L205" s="3">
        <v>114.7</v>
      </c>
      <c r="M205" s="3">
        <v>139.4</v>
      </c>
      <c r="N205" s="3">
        <v>131.1</v>
      </c>
      <c r="O205" s="3">
        <v>153</v>
      </c>
      <c r="P205" s="3">
        <v>141.69999999999999</v>
      </c>
      <c r="Q205" s="3">
        <v>157.9</v>
      </c>
      <c r="R205" s="3">
        <v>147.30000000000001</v>
      </c>
      <c r="S205" s="3">
        <v>138.80000000000001</v>
      </c>
      <c r="T205" s="3">
        <v>146.1</v>
      </c>
      <c r="U205" s="3">
        <v>144.6</v>
      </c>
      <c r="V205" s="3">
        <f t="shared" si="28"/>
        <v>144.6</v>
      </c>
      <c r="W205" s="3">
        <v>140.9</v>
      </c>
      <c r="X205" s="3">
        <v>139.4</v>
      </c>
      <c r="Y205" s="3">
        <v>137.69999999999999</v>
      </c>
      <c r="Z205" s="3">
        <v>124.3</v>
      </c>
      <c r="AA205" s="3">
        <v>133.6</v>
      </c>
      <c r="AB205" s="3">
        <v>146</v>
      </c>
      <c r="AC205" s="3">
        <v>130.1</v>
      </c>
      <c r="AD205" s="3">
        <v>133.9</v>
      </c>
      <c r="AE205" s="3">
        <v>140.4</v>
      </c>
      <c r="AF205">
        <f t="shared" si="29"/>
        <v>1798.7000000000003</v>
      </c>
      <c r="AG205">
        <f t="shared" si="30"/>
        <v>432.20000000000005</v>
      </c>
      <c r="AH205">
        <f t="shared" si="31"/>
        <v>265.2</v>
      </c>
      <c r="AI205">
        <f t="shared" si="32"/>
        <v>430</v>
      </c>
      <c r="AJ205">
        <f t="shared" si="33"/>
        <v>267.79999999999995</v>
      </c>
      <c r="AK205">
        <f t="shared" si="34"/>
        <v>425.4</v>
      </c>
    </row>
    <row r="206" spans="1:37" x14ac:dyDescent="0.25">
      <c r="A206" s="6" t="s">
        <v>30</v>
      </c>
      <c r="B206" s="6">
        <v>2018</v>
      </c>
      <c r="C206" s="6" t="s">
        <v>42</v>
      </c>
      <c r="D206" s="3">
        <v>139.4</v>
      </c>
      <c r="E206" s="3">
        <v>147.19999999999999</v>
      </c>
      <c r="F206" s="3">
        <v>136.6</v>
      </c>
      <c r="G206" s="3">
        <v>143.69999999999999</v>
      </c>
      <c r="H206" s="3">
        <v>124.6</v>
      </c>
      <c r="I206" s="3">
        <v>150.1</v>
      </c>
      <c r="J206" s="3">
        <v>149.4</v>
      </c>
      <c r="K206" s="3">
        <v>125.4</v>
      </c>
      <c r="L206" s="3">
        <v>114.4</v>
      </c>
      <c r="M206" s="3">
        <v>138.69999999999999</v>
      </c>
      <c r="N206" s="3">
        <v>133.1</v>
      </c>
      <c r="O206" s="3">
        <v>155.9</v>
      </c>
      <c r="P206" s="3">
        <v>141.30000000000001</v>
      </c>
      <c r="Q206" s="3">
        <v>157.69999999999999</v>
      </c>
      <c r="R206" s="3">
        <v>152.1</v>
      </c>
      <c r="S206" s="3">
        <v>146.1</v>
      </c>
      <c r="T206" s="3">
        <v>151.30000000000001</v>
      </c>
      <c r="U206" s="3" t="s">
        <v>32</v>
      </c>
      <c r="V206" s="3">
        <f t="shared" si="28"/>
        <v>145.30000000000001</v>
      </c>
      <c r="W206" s="3">
        <v>149</v>
      </c>
      <c r="X206" s="3">
        <v>144</v>
      </c>
      <c r="Y206" s="3">
        <v>140</v>
      </c>
      <c r="Z206" s="3">
        <v>129.9</v>
      </c>
      <c r="AA206" s="3">
        <v>140</v>
      </c>
      <c r="AB206" s="3">
        <v>147.6</v>
      </c>
      <c r="AC206" s="3">
        <v>132</v>
      </c>
      <c r="AD206" s="3">
        <v>137.4</v>
      </c>
      <c r="AE206" s="3">
        <v>142.1</v>
      </c>
      <c r="AF206">
        <f t="shared" si="29"/>
        <v>1799.8000000000002</v>
      </c>
      <c r="AG206">
        <f t="shared" si="30"/>
        <v>449.5</v>
      </c>
      <c r="AH206">
        <f t="shared" si="31"/>
        <v>278.89999999999998</v>
      </c>
      <c r="AI206">
        <f t="shared" si="32"/>
        <v>436.9</v>
      </c>
      <c r="AJ206">
        <f t="shared" si="33"/>
        <v>272</v>
      </c>
      <c r="AK206">
        <f t="shared" si="34"/>
        <v>435.1</v>
      </c>
    </row>
    <row r="207" spans="1:37" x14ac:dyDescent="0.25">
      <c r="A207" s="6" t="s">
        <v>33</v>
      </c>
      <c r="B207" s="6">
        <v>2018</v>
      </c>
      <c r="C207" s="6" t="s">
        <v>42</v>
      </c>
      <c r="D207" s="3">
        <v>137</v>
      </c>
      <c r="E207" s="3">
        <v>143.1</v>
      </c>
      <c r="F207" s="3">
        <v>132.80000000000001</v>
      </c>
      <c r="G207" s="3">
        <v>141.5</v>
      </c>
      <c r="H207" s="3">
        <v>117.8</v>
      </c>
      <c r="I207" s="3">
        <v>140</v>
      </c>
      <c r="J207" s="3">
        <v>151.30000000000001</v>
      </c>
      <c r="K207" s="3">
        <v>113.5</v>
      </c>
      <c r="L207" s="3">
        <v>112.3</v>
      </c>
      <c r="M207" s="3">
        <v>141.19999999999999</v>
      </c>
      <c r="N207" s="3">
        <v>127.7</v>
      </c>
      <c r="O207" s="3">
        <v>151.30000000000001</v>
      </c>
      <c r="P207" s="3">
        <v>138.9</v>
      </c>
      <c r="Q207" s="3">
        <v>163.30000000000001</v>
      </c>
      <c r="R207" s="3">
        <v>140.80000000000001</v>
      </c>
      <c r="S207" s="3">
        <v>129.30000000000001</v>
      </c>
      <c r="T207" s="3">
        <v>139.1</v>
      </c>
      <c r="U207" s="3">
        <v>145.30000000000001</v>
      </c>
      <c r="V207" s="3">
        <f t="shared" si="28"/>
        <v>145.30000000000001</v>
      </c>
      <c r="W207" s="3">
        <v>131.19999999999999</v>
      </c>
      <c r="X207" s="3">
        <v>134.9</v>
      </c>
      <c r="Y207" s="3">
        <v>135.69999999999999</v>
      </c>
      <c r="Z207" s="3">
        <v>122.5</v>
      </c>
      <c r="AA207" s="3">
        <v>130.19999999999999</v>
      </c>
      <c r="AB207" s="3">
        <v>145.19999999999999</v>
      </c>
      <c r="AC207" s="3">
        <v>129.30000000000001</v>
      </c>
      <c r="AD207" s="3">
        <v>131.9</v>
      </c>
      <c r="AE207" s="3">
        <v>138.1</v>
      </c>
      <c r="AF207">
        <f t="shared" si="29"/>
        <v>1748.4</v>
      </c>
      <c r="AG207">
        <f t="shared" si="30"/>
        <v>409.20000000000005</v>
      </c>
      <c r="AH207">
        <f t="shared" si="31"/>
        <v>253.7</v>
      </c>
      <c r="AI207">
        <f t="shared" si="32"/>
        <v>425.40000000000003</v>
      </c>
      <c r="AJ207">
        <f t="shared" si="33"/>
        <v>265</v>
      </c>
      <c r="AK207">
        <f t="shared" si="34"/>
        <v>425.4</v>
      </c>
    </row>
    <row r="208" spans="1:37" x14ac:dyDescent="0.25">
      <c r="A208" s="6" t="s">
        <v>34</v>
      </c>
      <c r="B208" s="6">
        <v>2018</v>
      </c>
      <c r="C208" s="6" t="s">
        <v>42</v>
      </c>
      <c r="D208" s="3">
        <v>138.6</v>
      </c>
      <c r="E208" s="3">
        <v>145.80000000000001</v>
      </c>
      <c r="F208" s="3">
        <v>135.1</v>
      </c>
      <c r="G208" s="3">
        <v>142.9</v>
      </c>
      <c r="H208" s="3">
        <v>122.1</v>
      </c>
      <c r="I208" s="3">
        <v>145.4</v>
      </c>
      <c r="J208" s="3">
        <v>150</v>
      </c>
      <c r="K208" s="3">
        <v>121.4</v>
      </c>
      <c r="L208" s="3">
        <v>113.7</v>
      </c>
      <c r="M208" s="3">
        <v>139.5</v>
      </c>
      <c r="N208" s="3">
        <v>130.80000000000001</v>
      </c>
      <c r="O208" s="3">
        <v>153.80000000000001</v>
      </c>
      <c r="P208" s="3">
        <v>140.4</v>
      </c>
      <c r="Q208" s="3">
        <v>159.19999999999999</v>
      </c>
      <c r="R208" s="3">
        <v>147.69999999999999</v>
      </c>
      <c r="S208" s="3">
        <v>139.1</v>
      </c>
      <c r="T208" s="3">
        <v>146.5</v>
      </c>
      <c r="U208" s="3">
        <v>145.30000000000001</v>
      </c>
      <c r="V208" s="3">
        <f t="shared" si="28"/>
        <v>145.30000000000001</v>
      </c>
      <c r="W208" s="3">
        <v>142.30000000000001</v>
      </c>
      <c r="X208" s="3">
        <v>139.69999999999999</v>
      </c>
      <c r="Y208" s="3">
        <v>138.4</v>
      </c>
      <c r="Z208" s="3">
        <v>126</v>
      </c>
      <c r="AA208" s="3">
        <v>134.5</v>
      </c>
      <c r="AB208" s="3">
        <v>146.19999999999999</v>
      </c>
      <c r="AC208" s="3">
        <v>130.9</v>
      </c>
      <c r="AD208" s="3">
        <v>134.69999999999999</v>
      </c>
      <c r="AE208" s="3">
        <v>140.19999999999999</v>
      </c>
      <c r="AF208">
        <f t="shared" si="29"/>
        <v>1779.5</v>
      </c>
      <c r="AG208">
        <f t="shared" si="30"/>
        <v>433.29999999999995</v>
      </c>
      <c r="AH208">
        <f t="shared" si="31"/>
        <v>268.3</v>
      </c>
      <c r="AI208">
        <f t="shared" si="32"/>
        <v>431.2</v>
      </c>
      <c r="AJ208">
        <f t="shared" si="33"/>
        <v>269.3</v>
      </c>
      <c r="AK208">
        <f t="shared" si="34"/>
        <v>428.4</v>
      </c>
    </row>
    <row r="209" spans="1:37" x14ac:dyDescent="0.25">
      <c r="A209" s="6" t="s">
        <v>30</v>
      </c>
      <c r="B209" s="6">
        <v>2018</v>
      </c>
      <c r="C209" s="6" t="s">
        <v>43</v>
      </c>
      <c r="D209" s="3">
        <v>139.30000000000001</v>
      </c>
      <c r="E209" s="3">
        <v>147.6</v>
      </c>
      <c r="F209" s="3">
        <v>134.6</v>
      </c>
      <c r="G209" s="3">
        <v>141.9</v>
      </c>
      <c r="H209" s="3">
        <v>123.5</v>
      </c>
      <c r="I209" s="3">
        <v>144.5</v>
      </c>
      <c r="J209" s="3">
        <v>147.6</v>
      </c>
      <c r="K209" s="3">
        <v>121.4</v>
      </c>
      <c r="L209" s="3">
        <v>112.3</v>
      </c>
      <c r="M209" s="3">
        <v>139.5</v>
      </c>
      <c r="N209" s="3">
        <v>134.6</v>
      </c>
      <c r="O209" s="3">
        <v>155.19999999999999</v>
      </c>
      <c r="P209" s="3">
        <v>140.19999999999999</v>
      </c>
      <c r="Q209" s="3">
        <v>159.6</v>
      </c>
      <c r="R209" s="3">
        <v>150.69999999999999</v>
      </c>
      <c r="S209" s="3">
        <v>144.5</v>
      </c>
      <c r="T209" s="3">
        <v>149.80000000000001</v>
      </c>
      <c r="U209" s="3" t="s">
        <v>32</v>
      </c>
      <c r="V209" s="3">
        <f t="shared" si="28"/>
        <v>146.60000000000002</v>
      </c>
      <c r="W209" s="3">
        <v>149.69999999999999</v>
      </c>
      <c r="X209" s="3">
        <v>147.5</v>
      </c>
      <c r="Y209" s="3">
        <v>144.80000000000001</v>
      </c>
      <c r="Z209" s="3">
        <v>130.80000000000001</v>
      </c>
      <c r="AA209" s="3">
        <v>140.1</v>
      </c>
      <c r="AB209" s="3">
        <v>148</v>
      </c>
      <c r="AC209" s="3">
        <v>134.4</v>
      </c>
      <c r="AD209" s="3">
        <v>139.80000000000001</v>
      </c>
      <c r="AE209" s="3">
        <v>142.19999999999999</v>
      </c>
      <c r="AF209">
        <f t="shared" si="29"/>
        <v>1782.2</v>
      </c>
      <c r="AG209">
        <f t="shared" si="30"/>
        <v>445</v>
      </c>
      <c r="AH209">
        <f t="shared" si="31"/>
        <v>280.5</v>
      </c>
      <c r="AI209">
        <f t="shared" si="32"/>
        <v>442.1</v>
      </c>
      <c r="AJ209">
        <f t="shared" si="33"/>
        <v>279.20000000000005</v>
      </c>
      <c r="AK209">
        <f t="shared" si="34"/>
        <v>439.5</v>
      </c>
    </row>
    <row r="210" spans="1:37" x14ac:dyDescent="0.25">
      <c r="A210" s="6" t="s">
        <v>33</v>
      </c>
      <c r="B210" s="6">
        <v>2018</v>
      </c>
      <c r="C210" s="6" t="s">
        <v>43</v>
      </c>
      <c r="D210" s="3">
        <v>137.6</v>
      </c>
      <c r="E210" s="3">
        <v>144.9</v>
      </c>
      <c r="F210" s="3">
        <v>133.5</v>
      </c>
      <c r="G210" s="3">
        <v>141.5</v>
      </c>
      <c r="H210" s="3">
        <v>118</v>
      </c>
      <c r="I210" s="3">
        <v>139.5</v>
      </c>
      <c r="J210" s="3">
        <v>153</v>
      </c>
      <c r="K210" s="3">
        <v>113.2</v>
      </c>
      <c r="L210" s="3">
        <v>112.8</v>
      </c>
      <c r="M210" s="3">
        <v>141.1</v>
      </c>
      <c r="N210" s="3">
        <v>127.6</v>
      </c>
      <c r="O210" s="3">
        <v>152</v>
      </c>
      <c r="P210" s="3">
        <v>139.4</v>
      </c>
      <c r="Q210" s="3">
        <v>164</v>
      </c>
      <c r="R210" s="3">
        <v>141.5</v>
      </c>
      <c r="S210" s="3">
        <v>129.80000000000001</v>
      </c>
      <c r="T210" s="3">
        <v>139.69999999999999</v>
      </c>
      <c r="U210" s="3">
        <v>146.30000000000001</v>
      </c>
      <c r="V210" s="3">
        <f t="shared" si="28"/>
        <v>146.30000000000001</v>
      </c>
      <c r="W210" s="3">
        <v>133.4</v>
      </c>
      <c r="X210" s="3">
        <v>135.1</v>
      </c>
      <c r="Y210" s="3">
        <v>136.19999999999999</v>
      </c>
      <c r="Z210" s="3">
        <v>123.3</v>
      </c>
      <c r="AA210" s="3">
        <v>130.69999999999999</v>
      </c>
      <c r="AB210" s="3">
        <v>145.5</v>
      </c>
      <c r="AC210" s="3">
        <v>130.4</v>
      </c>
      <c r="AD210" s="3">
        <v>132.5</v>
      </c>
      <c r="AE210" s="3">
        <v>138.9</v>
      </c>
      <c r="AF210">
        <f t="shared" si="29"/>
        <v>1754.1</v>
      </c>
      <c r="AG210">
        <f t="shared" si="30"/>
        <v>411</v>
      </c>
      <c r="AH210">
        <f t="shared" si="31"/>
        <v>256.7</v>
      </c>
      <c r="AI210">
        <f t="shared" si="32"/>
        <v>426.9</v>
      </c>
      <c r="AJ210">
        <f t="shared" si="33"/>
        <v>266.60000000000002</v>
      </c>
      <c r="AK210">
        <f t="shared" si="34"/>
        <v>427.2</v>
      </c>
    </row>
    <row r="211" spans="1:37" x14ac:dyDescent="0.25">
      <c r="A211" s="6" t="s">
        <v>34</v>
      </c>
      <c r="B211" s="6">
        <v>2018</v>
      </c>
      <c r="C211" s="6" t="s">
        <v>43</v>
      </c>
      <c r="D211" s="3">
        <v>137.4</v>
      </c>
      <c r="E211" s="3">
        <v>149.5</v>
      </c>
      <c r="F211" s="3">
        <v>137.30000000000001</v>
      </c>
      <c r="G211" s="3">
        <v>141.9</v>
      </c>
      <c r="H211" s="3">
        <v>121.1</v>
      </c>
      <c r="I211" s="3">
        <v>142.5</v>
      </c>
      <c r="J211" s="3">
        <v>146.69999999999999</v>
      </c>
      <c r="K211" s="3">
        <v>119.1</v>
      </c>
      <c r="L211" s="3">
        <v>111.9</v>
      </c>
      <c r="M211" s="3">
        <v>141</v>
      </c>
      <c r="N211" s="3">
        <v>133.6</v>
      </c>
      <c r="O211" s="3">
        <v>154.5</v>
      </c>
      <c r="P211" s="3">
        <v>139.69999999999999</v>
      </c>
      <c r="Q211" s="3">
        <v>162.6</v>
      </c>
      <c r="R211" s="3">
        <v>148</v>
      </c>
      <c r="S211" s="3">
        <v>139.19999999999999</v>
      </c>
      <c r="T211" s="3">
        <v>146.80000000000001</v>
      </c>
      <c r="U211" s="3">
        <v>146.9</v>
      </c>
      <c r="V211" s="3">
        <f t="shared" si="28"/>
        <v>146.9</v>
      </c>
      <c r="W211" s="3">
        <v>145.30000000000001</v>
      </c>
      <c r="X211" s="3">
        <v>142.19999999999999</v>
      </c>
      <c r="Y211" s="3">
        <v>142.1</v>
      </c>
      <c r="Z211" s="3">
        <v>125.5</v>
      </c>
      <c r="AA211" s="3">
        <v>136.5</v>
      </c>
      <c r="AB211" s="3">
        <v>147.80000000000001</v>
      </c>
      <c r="AC211" s="3">
        <v>132</v>
      </c>
      <c r="AD211" s="3">
        <v>136.30000000000001</v>
      </c>
      <c r="AE211" s="3">
        <v>140.80000000000001</v>
      </c>
      <c r="AF211">
        <f t="shared" si="29"/>
        <v>1776.2</v>
      </c>
      <c r="AG211">
        <f t="shared" si="30"/>
        <v>434</v>
      </c>
      <c r="AH211">
        <f t="shared" si="31"/>
        <v>270.8</v>
      </c>
      <c r="AI211">
        <f t="shared" si="32"/>
        <v>436.90000000000003</v>
      </c>
      <c r="AJ211">
        <f t="shared" si="33"/>
        <v>274.10000000000002</v>
      </c>
      <c r="AK211">
        <f t="shared" si="34"/>
        <v>435.40000000000003</v>
      </c>
    </row>
    <row r="212" spans="1:37" x14ac:dyDescent="0.25">
      <c r="A212" s="6" t="s">
        <v>30</v>
      </c>
      <c r="B212" s="6">
        <v>2018</v>
      </c>
      <c r="C212" s="6" t="s">
        <v>45</v>
      </c>
      <c r="D212" s="3">
        <v>137.1</v>
      </c>
      <c r="E212" s="3">
        <v>150.80000000000001</v>
      </c>
      <c r="F212" s="3">
        <v>136.69999999999999</v>
      </c>
      <c r="G212" s="3">
        <v>141.9</v>
      </c>
      <c r="H212" s="3">
        <v>122.8</v>
      </c>
      <c r="I212" s="3">
        <v>143.9</v>
      </c>
      <c r="J212" s="3">
        <v>147.5</v>
      </c>
      <c r="K212" s="3">
        <v>121</v>
      </c>
      <c r="L212" s="3">
        <v>111.6</v>
      </c>
      <c r="M212" s="3">
        <v>140.6</v>
      </c>
      <c r="N212" s="3">
        <v>137.5</v>
      </c>
      <c r="O212" s="3">
        <v>156.1</v>
      </c>
      <c r="P212" s="3">
        <v>140</v>
      </c>
      <c r="Q212" s="3">
        <v>161.9</v>
      </c>
      <c r="R212" s="3">
        <v>151.69999999999999</v>
      </c>
      <c r="S212" s="3">
        <v>145.5</v>
      </c>
      <c r="T212" s="3">
        <v>150.80000000000001</v>
      </c>
      <c r="U212" s="3" t="s">
        <v>32</v>
      </c>
      <c r="V212" s="3">
        <f t="shared" si="28"/>
        <v>146.9</v>
      </c>
      <c r="W212" s="3">
        <v>150.30000000000001</v>
      </c>
      <c r="X212" s="3">
        <v>148</v>
      </c>
      <c r="Y212" s="3">
        <v>145.4</v>
      </c>
      <c r="Z212" s="3">
        <v>130.30000000000001</v>
      </c>
      <c r="AA212" s="3">
        <v>143.1</v>
      </c>
      <c r="AB212" s="3">
        <v>150.19999999999999</v>
      </c>
      <c r="AC212" s="3">
        <v>133.1</v>
      </c>
      <c r="AD212" s="3">
        <v>140.1</v>
      </c>
      <c r="AE212" s="3">
        <v>142.4</v>
      </c>
      <c r="AF212">
        <f t="shared" si="29"/>
        <v>1787.4999999999995</v>
      </c>
      <c r="AG212">
        <f t="shared" si="30"/>
        <v>448</v>
      </c>
      <c r="AH212">
        <f t="shared" si="31"/>
        <v>280.60000000000002</v>
      </c>
      <c r="AI212">
        <f t="shared" si="32"/>
        <v>445.09999999999997</v>
      </c>
      <c r="AJ212">
        <f t="shared" si="33"/>
        <v>278.5</v>
      </c>
      <c r="AK212">
        <f t="shared" si="34"/>
        <v>445.1</v>
      </c>
    </row>
    <row r="213" spans="1:37" x14ac:dyDescent="0.25">
      <c r="A213" s="6" t="s">
        <v>33</v>
      </c>
      <c r="B213" s="6">
        <v>2018</v>
      </c>
      <c r="C213" s="6" t="s">
        <v>45</v>
      </c>
      <c r="D213" s="3">
        <v>138.1</v>
      </c>
      <c r="E213" s="3">
        <v>146.30000000000001</v>
      </c>
      <c r="F213" s="3">
        <v>137.80000000000001</v>
      </c>
      <c r="G213" s="3">
        <v>141.6</v>
      </c>
      <c r="H213" s="3">
        <v>118.1</v>
      </c>
      <c r="I213" s="3">
        <v>141.5</v>
      </c>
      <c r="J213" s="3">
        <v>145.19999999999999</v>
      </c>
      <c r="K213" s="3">
        <v>115.3</v>
      </c>
      <c r="L213" s="3">
        <v>112.5</v>
      </c>
      <c r="M213" s="3">
        <v>141.4</v>
      </c>
      <c r="N213" s="3">
        <v>128</v>
      </c>
      <c r="O213" s="3">
        <v>152.6</v>
      </c>
      <c r="P213" s="3">
        <v>139.1</v>
      </c>
      <c r="Q213" s="3">
        <v>164.4</v>
      </c>
      <c r="R213" s="3">
        <v>142.4</v>
      </c>
      <c r="S213" s="3">
        <v>130.19999999999999</v>
      </c>
      <c r="T213" s="3">
        <v>140.5</v>
      </c>
      <c r="U213" s="3">
        <v>146.9</v>
      </c>
      <c r="V213" s="3">
        <f t="shared" si="28"/>
        <v>146.9</v>
      </c>
      <c r="W213" s="3">
        <v>136.69999999999999</v>
      </c>
      <c r="X213" s="3">
        <v>135.80000000000001</v>
      </c>
      <c r="Y213" s="3">
        <v>136.80000000000001</v>
      </c>
      <c r="Z213" s="3">
        <v>121.2</v>
      </c>
      <c r="AA213" s="3">
        <v>131.30000000000001</v>
      </c>
      <c r="AB213" s="3">
        <v>146.1</v>
      </c>
      <c r="AC213" s="3">
        <v>130.5</v>
      </c>
      <c r="AD213" s="3">
        <v>132.19999999999999</v>
      </c>
      <c r="AE213" s="3">
        <v>139</v>
      </c>
      <c r="AF213">
        <f t="shared" si="29"/>
        <v>1757.4999999999998</v>
      </c>
      <c r="AG213">
        <f t="shared" si="30"/>
        <v>413.1</v>
      </c>
      <c r="AH213">
        <f t="shared" si="31"/>
        <v>257.89999999999998</v>
      </c>
      <c r="AI213">
        <f t="shared" si="32"/>
        <v>428.80000000000007</v>
      </c>
      <c r="AJ213">
        <f t="shared" si="33"/>
        <v>267.3</v>
      </c>
      <c r="AK213">
        <f t="shared" si="34"/>
        <v>427.90000000000003</v>
      </c>
    </row>
    <row r="214" spans="1:37" x14ac:dyDescent="0.25">
      <c r="A214" s="6" t="s">
        <v>34</v>
      </c>
      <c r="B214" s="6">
        <v>2018</v>
      </c>
      <c r="C214" s="6" t="s">
        <v>45</v>
      </c>
      <c r="D214" s="3">
        <v>137.4</v>
      </c>
      <c r="E214" s="3">
        <v>149.19999999999999</v>
      </c>
      <c r="F214" s="3">
        <v>137.1</v>
      </c>
      <c r="G214" s="3">
        <v>141.80000000000001</v>
      </c>
      <c r="H214" s="3">
        <v>121.1</v>
      </c>
      <c r="I214" s="3">
        <v>142.80000000000001</v>
      </c>
      <c r="J214" s="3">
        <v>146.69999999999999</v>
      </c>
      <c r="K214" s="3">
        <v>119.1</v>
      </c>
      <c r="L214" s="3">
        <v>111.9</v>
      </c>
      <c r="M214" s="3">
        <v>140.9</v>
      </c>
      <c r="N214" s="3">
        <v>133.5</v>
      </c>
      <c r="O214" s="3">
        <v>154.5</v>
      </c>
      <c r="P214" s="3">
        <v>139.69999999999999</v>
      </c>
      <c r="Q214" s="3">
        <v>162.6</v>
      </c>
      <c r="R214" s="3">
        <v>148</v>
      </c>
      <c r="S214" s="3">
        <v>139.1</v>
      </c>
      <c r="T214" s="3">
        <v>146.69999999999999</v>
      </c>
      <c r="U214" s="3">
        <v>146.9</v>
      </c>
      <c r="V214" s="3">
        <f t="shared" si="28"/>
        <v>146.9</v>
      </c>
      <c r="W214" s="3">
        <v>145.1</v>
      </c>
      <c r="X214" s="3">
        <v>142.19999999999999</v>
      </c>
      <c r="Y214" s="3">
        <v>142.1</v>
      </c>
      <c r="Z214" s="3">
        <v>125.5</v>
      </c>
      <c r="AA214" s="3">
        <v>136.5</v>
      </c>
      <c r="AB214" s="3">
        <v>147.80000000000001</v>
      </c>
      <c r="AC214" s="3">
        <v>132</v>
      </c>
      <c r="AD214" s="3">
        <v>136.30000000000001</v>
      </c>
      <c r="AE214" s="3">
        <v>140.80000000000001</v>
      </c>
      <c r="AF214">
        <f t="shared" si="29"/>
        <v>1775.7000000000003</v>
      </c>
      <c r="AG214">
        <f t="shared" si="30"/>
        <v>433.8</v>
      </c>
      <c r="AH214">
        <f t="shared" si="31"/>
        <v>270.60000000000002</v>
      </c>
      <c r="AI214">
        <f t="shared" si="32"/>
        <v>436.90000000000003</v>
      </c>
      <c r="AJ214">
        <f t="shared" si="33"/>
        <v>274.10000000000002</v>
      </c>
      <c r="AK214">
        <f t="shared" si="34"/>
        <v>435.40000000000003</v>
      </c>
    </row>
    <row r="215" spans="1:37" x14ac:dyDescent="0.25">
      <c r="A215" s="6" t="s">
        <v>30</v>
      </c>
      <c r="B215" s="6">
        <v>2018</v>
      </c>
      <c r="C215" s="6" t="s">
        <v>46</v>
      </c>
      <c r="D215" s="3">
        <v>137.1</v>
      </c>
      <c r="E215" s="3">
        <v>151.9</v>
      </c>
      <c r="F215" s="3">
        <v>137.4</v>
      </c>
      <c r="G215" s="3">
        <v>142.4</v>
      </c>
      <c r="H215" s="3">
        <v>124.2</v>
      </c>
      <c r="I215" s="3">
        <v>140.19999999999999</v>
      </c>
      <c r="J215" s="3">
        <v>136.6</v>
      </c>
      <c r="K215" s="3">
        <v>120.9</v>
      </c>
      <c r="L215" s="3">
        <v>109.9</v>
      </c>
      <c r="M215" s="3">
        <v>140.19999999999999</v>
      </c>
      <c r="N215" s="3">
        <v>137.80000000000001</v>
      </c>
      <c r="O215" s="3">
        <v>156</v>
      </c>
      <c r="P215" s="3">
        <v>138.5</v>
      </c>
      <c r="Q215" s="3">
        <v>162.4</v>
      </c>
      <c r="R215" s="3">
        <v>151.6</v>
      </c>
      <c r="S215" s="3">
        <v>145.9</v>
      </c>
      <c r="T215" s="3">
        <v>150.80000000000001</v>
      </c>
      <c r="U215" s="3" t="s">
        <v>32</v>
      </c>
      <c r="V215" s="3">
        <f t="shared" si="28"/>
        <v>146.5</v>
      </c>
      <c r="W215" s="3">
        <v>149</v>
      </c>
      <c r="X215" s="3">
        <v>149.5</v>
      </c>
      <c r="Y215" s="3">
        <v>149.6</v>
      </c>
      <c r="Z215" s="3">
        <v>128.9</v>
      </c>
      <c r="AA215" s="3">
        <v>143.30000000000001</v>
      </c>
      <c r="AB215" s="3">
        <v>155.1</v>
      </c>
      <c r="AC215" s="3">
        <v>133.19999999999999</v>
      </c>
      <c r="AD215" s="3">
        <v>141.6</v>
      </c>
      <c r="AE215" s="3">
        <v>141.9</v>
      </c>
      <c r="AF215">
        <f t="shared" si="29"/>
        <v>1773.1000000000001</v>
      </c>
      <c r="AG215">
        <f t="shared" si="30"/>
        <v>448.3</v>
      </c>
      <c r="AH215">
        <f t="shared" si="31"/>
        <v>277.89999999999998</v>
      </c>
      <c r="AI215">
        <f t="shared" si="32"/>
        <v>451.1</v>
      </c>
      <c r="AJ215">
        <f t="shared" si="33"/>
        <v>282.79999999999995</v>
      </c>
      <c r="AK215">
        <f t="shared" si="34"/>
        <v>447.30000000000007</v>
      </c>
    </row>
    <row r="216" spans="1:37" x14ac:dyDescent="0.25">
      <c r="A216" s="6" t="s">
        <v>33</v>
      </c>
      <c r="B216" s="6">
        <v>2018</v>
      </c>
      <c r="C216" s="6" t="s">
        <v>46</v>
      </c>
      <c r="D216" s="3">
        <v>138.5</v>
      </c>
      <c r="E216" s="3">
        <v>147.80000000000001</v>
      </c>
      <c r="F216" s="3">
        <v>141.1</v>
      </c>
      <c r="G216" s="3">
        <v>141.6</v>
      </c>
      <c r="H216" s="3">
        <v>118.1</v>
      </c>
      <c r="I216" s="3">
        <v>138.5</v>
      </c>
      <c r="J216" s="3">
        <v>132.4</v>
      </c>
      <c r="K216" s="3">
        <v>117.5</v>
      </c>
      <c r="L216" s="3">
        <v>111</v>
      </c>
      <c r="M216" s="3">
        <v>141.5</v>
      </c>
      <c r="N216" s="3">
        <v>128.1</v>
      </c>
      <c r="O216" s="3">
        <v>152.9</v>
      </c>
      <c r="P216" s="3">
        <v>137.6</v>
      </c>
      <c r="Q216" s="3">
        <v>164.6</v>
      </c>
      <c r="R216" s="3">
        <v>142.69999999999999</v>
      </c>
      <c r="S216" s="3">
        <v>130.30000000000001</v>
      </c>
      <c r="T216" s="3">
        <v>140.80000000000001</v>
      </c>
      <c r="U216" s="3">
        <v>146.5</v>
      </c>
      <c r="V216" s="3">
        <f t="shared" si="28"/>
        <v>146.5</v>
      </c>
      <c r="W216" s="3">
        <v>132.4</v>
      </c>
      <c r="X216" s="3">
        <v>136.19999999999999</v>
      </c>
      <c r="Y216" s="3">
        <v>137.30000000000001</v>
      </c>
      <c r="Z216" s="3">
        <v>118.8</v>
      </c>
      <c r="AA216" s="3">
        <v>131.69999999999999</v>
      </c>
      <c r="AB216" s="3">
        <v>146.5</v>
      </c>
      <c r="AC216" s="3">
        <v>130.80000000000001</v>
      </c>
      <c r="AD216" s="3">
        <v>131.69999999999999</v>
      </c>
      <c r="AE216" s="3">
        <v>138</v>
      </c>
      <c r="AF216">
        <f t="shared" si="29"/>
        <v>1746.6</v>
      </c>
      <c r="AG216">
        <f t="shared" si="30"/>
        <v>413.8</v>
      </c>
      <c r="AH216">
        <f t="shared" si="31"/>
        <v>251.2</v>
      </c>
      <c r="AI216">
        <f t="shared" si="32"/>
        <v>429.2</v>
      </c>
      <c r="AJ216">
        <f t="shared" si="33"/>
        <v>268.10000000000002</v>
      </c>
      <c r="AK216">
        <f t="shared" si="34"/>
        <v>427.99999999999994</v>
      </c>
    </row>
    <row r="217" spans="1:37" x14ac:dyDescent="0.25">
      <c r="A217" s="6" t="s">
        <v>34</v>
      </c>
      <c r="B217" s="6">
        <v>2018</v>
      </c>
      <c r="C217" s="6" t="s">
        <v>46</v>
      </c>
      <c r="D217" s="3">
        <v>137.5</v>
      </c>
      <c r="E217" s="3">
        <v>150.5</v>
      </c>
      <c r="F217" s="3">
        <v>138.80000000000001</v>
      </c>
      <c r="G217" s="3">
        <v>142.1</v>
      </c>
      <c r="H217" s="3">
        <v>122</v>
      </c>
      <c r="I217" s="3">
        <v>139.4</v>
      </c>
      <c r="J217" s="3">
        <v>135.19999999999999</v>
      </c>
      <c r="K217" s="3">
        <v>119.8</v>
      </c>
      <c r="L217" s="3">
        <v>110.3</v>
      </c>
      <c r="M217" s="3">
        <v>140.6</v>
      </c>
      <c r="N217" s="3">
        <v>133.80000000000001</v>
      </c>
      <c r="O217" s="3">
        <v>154.6</v>
      </c>
      <c r="P217" s="3">
        <v>138.19999999999999</v>
      </c>
      <c r="Q217" s="3">
        <v>163</v>
      </c>
      <c r="R217" s="3">
        <v>148.1</v>
      </c>
      <c r="S217" s="3">
        <v>139.4</v>
      </c>
      <c r="T217" s="3">
        <v>146.80000000000001</v>
      </c>
      <c r="U217" s="3">
        <v>146.5</v>
      </c>
      <c r="V217" s="3">
        <f t="shared" si="28"/>
        <v>146.5</v>
      </c>
      <c r="W217" s="3">
        <v>142.69999999999999</v>
      </c>
      <c r="X217" s="3">
        <v>143.19999999999999</v>
      </c>
      <c r="Y217" s="3">
        <v>144.9</v>
      </c>
      <c r="Z217" s="3">
        <v>123.6</v>
      </c>
      <c r="AA217" s="3">
        <v>136.80000000000001</v>
      </c>
      <c r="AB217" s="3">
        <v>150.1</v>
      </c>
      <c r="AC217" s="3">
        <v>132.19999999999999</v>
      </c>
      <c r="AD217" s="3">
        <v>136.80000000000001</v>
      </c>
      <c r="AE217" s="3">
        <v>140.1</v>
      </c>
      <c r="AF217">
        <f t="shared" si="29"/>
        <v>1762.7999999999997</v>
      </c>
      <c r="AG217">
        <f t="shared" si="30"/>
        <v>434.3</v>
      </c>
      <c r="AH217">
        <f t="shared" si="31"/>
        <v>266.29999999999995</v>
      </c>
      <c r="AI217">
        <f t="shared" si="32"/>
        <v>439.79999999999995</v>
      </c>
      <c r="AJ217">
        <f t="shared" si="33"/>
        <v>277.10000000000002</v>
      </c>
      <c r="AK217">
        <f t="shared" si="34"/>
        <v>436.6</v>
      </c>
    </row>
    <row r="218" spans="1:37" x14ac:dyDescent="0.25">
      <c r="A218" s="6" t="s">
        <v>30</v>
      </c>
      <c r="B218" s="6">
        <v>2019</v>
      </c>
      <c r="C218" s="6" t="s">
        <v>31</v>
      </c>
      <c r="D218" s="3">
        <v>136.6</v>
      </c>
      <c r="E218" s="3">
        <v>152.5</v>
      </c>
      <c r="F218" s="3">
        <v>138.19999999999999</v>
      </c>
      <c r="G218" s="3">
        <v>142.4</v>
      </c>
      <c r="H218" s="3">
        <v>123.9</v>
      </c>
      <c r="I218" s="3">
        <v>135.5</v>
      </c>
      <c r="J218" s="3">
        <v>131.69999999999999</v>
      </c>
      <c r="K218" s="3">
        <v>121.3</v>
      </c>
      <c r="L218" s="3">
        <v>108.4</v>
      </c>
      <c r="M218" s="3">
        <v>138.9</v>
      </c>
      <c r="N218" s="3">
        <v>137</v>
      </c>
      <c r="O218" s="3">
        <v>155.80000000000001</v>
      </c>
      <c r="P218" s="3">
        <v>137.4</v>
      </c>
      <c r="Q218" s="3">
        <v>162.69999999999999</v>
      </c>
      <c r="R218" s="3">
        <v>150.6</v>
      </c>
      <c r="S218" s="3">
        <v>145.1</v>
      </c>
      <c r="T218" s="3">
        <v>149.9</v>
      </c>
      <c r="U218" s="3" t="s">
        <v>32</v>
      </c>
      <c r="V218" s="3">
        <f t="shared" si="28"/>
        <v>147.69999999999999</v>
      </c>
      <c r="W218" s="3">
        <v>146.19999999999999</v>
      </c>
      <c r="X218" s="3">
        <v>150.1</v>
      </c>
      <c r="Y218" s="3">
        <v>149.6</v>
      </c>
      <c r="Z218" s="3">
        <v>128.6</v>
      </c>
      <c r="AA218" s="3">
        <v>142.9</v>
      </c>
      <c r="AB218" s="3">
        <v>155.19999999999999</v>
      </c>
      <c r="AC218" s="3">
        <v>133.5</v>
      </c>
      <c r="AD218" s="3">
        <v>141.69999999999999</v>
      </c>
      <c r="AE218" s="3">
        <v>141</v>
      </c>
      <c r="AF218">
        <f t="shared" si="29"/>
        <v>1759.6000000000001</v>
      </c>
      <c r="AG218">
        <f t="shared" si="30"/>
        <v>445.6</v>
      </c>
      <c r="AH218">
        <f t="shared" si="31"/>
        <v>274.79999999999995</v>
      </c>
      <c r="AI218">
        <f t="shared" si="32"/>
        <v>452.99999999999994</v>
      </c>
      <c r="AJ218">
        <f t="shared" si="33"/>
        <v>283.10000000000002</v>
      </c>
      <c r="AK218">
        <f t="shared" si="34"/>
        <v>447.3</v>
      </c>
    </row>
    <row r="219" spans="1:37" x14ac:dyDescent="0.25">
      <c r="A219" s="6" t="s">
        <v>33</v>
      </c>
      <c r="B219" s="6">
        <v>2019</v>
      </c>
      <c r="C219" s="6" t="s">
        <v>31</v>
      </c>
      <c r="D219" s="3">
        <v>138.30000000000001</v>
      </c>
      <c r="E219" s="3">
        <v>149.4</v>
      </c>
      <c r="F219" s="3">
        <v>143.5</v>
      </c>
      <c r="G219" s="3">
        <v>141.69999999999999</v>
      </c>
      <c r="H219" s="3">
        <v>118.1</v>
      </c>
      <c r="I219" s="3">
        <v>135.19999999999999</v>
      </c>
      <c r="J219" s="3">
        <v>130.5</v>
      </c>
      <c r="K219" s="3">
        <v>118.2</v>
      </c>
      <c r="L219" s="3">
        <v>110.4</v>
      </c>
      <c r="M219" s="3">
        <v>140.4</v>
      </c>
      <c r="N219" s="3">
        <v>128.1</v>
      </c>
      <c r="O219" s="3">
        <v>153.19999999999999</v>
      </c>
      <c r="P219" s="3">
        <v>137.30000000000001</v>
      </c>
      <c r="Q219" s="3">
        <v>164.7</v>
      </c>
      <c r="R219" s="3">
        <v>143</v>
      </c>
      <c r="S219" s="3">
        <v>130.4</v>
      </c>
      <c r="T219" s="3">
        <v>141.1</v>
      </c>
      <c r="U219" s="3">
        <v>147.69999999999999</v>
      </c>
      <c r="V219" s="3">
        <f t="shared" si="28"/>
        <v>147.69999999999999</v>
      </c>
      <c r="W219" s="3">
        <v>128.6</v>
      </c>
      <c r="X219" s="3">
        <v>136.30000000000001</v>
      </c>
      <c r="Y219" s="3">
        <v>137.80000000000001</v>
      </c>
      <c r="Z219" s="3">
        <v>118.6</v>
      </c>
      <c r="AA219" s="3">
        <v>131.9</v>
      </c>
      <c r="AB219" s="3">
        <v>146.6</v>
      </c>
      <c r="AC219" s="3">
        <v>131.69999999999999</v>
      </c>
      <c r="AD219" s="3">
        <v>131.80000000000001</v>
      </c>
      <c r="AE219" s="3">
        <v>138</v>
      </c>
      <c r="AF219">
        <f t="shared" si="29"/>
        <v>1744.3000000000002</v>
      </c>
      <c r="AG219">
        <f t="shared" si="30"/>
        <v>414.5</v>
      </c>
      <c r="AH219">
        <f t="shared" si="31"/>
        <v>247.2</v>
      </c>
      <c r="AI219">
        <f t="shared" si="32"/>
        <v>430.6</v>
      </c>
      <c r="AJ219">
        <f t="shared" si="33"/>
        <v>269.5</v>
      </c>
      <c r="AK219">
        <f t="shared" si="34"/>
        <v>428.40000000000003</v>
      </c>
    </row>
    <row r="220" spans="1:37" x14ac:dyDescent="0.25">
      <c r="A220" s="6" t="s">
        <v>34</v>
      </c>
      <c r="B220" s="6">
        <v>2019</v>
      </c>
      <c r="C220" s="6" t="s">
        <v>31</v>
      </c>
      <c r="D220" s="3">
        <v>137.1</v>
      </c>
      <c r="E220" s="3">
        <v>151.4</v>
      </c>
      <c r="F220" s="3">
        <v>140.19999999999999</v>
      </c>
      <c r="G220" s="3">
        <v>142.1</v>
      </c>
      <c r="H220" s="3">
        <v>121.8</v>
      </c>
      <c r="I220" s="3">
        <v>135.4</v>
      </c>
      <c r="J220" s="3">
        <v>131.30000000000001</v>
      </c>
      <c r="K220" s="3">
        <v>120.3</v>
      </c>
      <c r="L220" s="3">
        <v>109.1</v>
      </c>
      <c r="M220" s="3">
        <v>139.4</v>
      </c>
      <c r="N220" s="3">
        <v>133.30000000000001</v>
      </c>
      <c r="O220" s="3">
        <v>154.6</v>
      </c>
      <c r="P220" s="3">
        <v>137.4</v>
      </c>
      <c r="Q220" s="3">
        <v>163.19999999999999</v>
      </c>
      <c r="R220" s="3">
        <v>147.6</v>
      </c>
      <c r="S220" s="3">
        <v>139</v>
      </c>
      <c r="T220" s="3">
        <v>146.4</v>
      </c>
      <c r="U220" s="3">
        <v>147.69999999999999</v>
      </c>
      <c r="V220" s="3">
        <f t="shared" si="28"/>
        <v>147.69999999999999</v>
      </c>
      <c r="W220" s="3">
        <v>139.5</v>
      </c>
      <c r="X220" s="3">
        <v>143.6</v>
      </c>
      <c r="Y220" s="3">
        <v>145.1</v>
      </c>
      <c r="Z220" s="3">
        <v>123.3</v>
      </c>
      <c r="AA220" s="3">
        <v>136.69999999999999</v>
      </c>
      <c r="AB220" s="3">
        <v>150.19999999999999</v>
      </c>
      <c r="AC220" s="3">
        <v>132.80000000000001</v>
      </c>
      <c r="AD220" s="3">
        <v>136.9</v>
      </c>
      <c r="AE220" s="3">
        <v>139.6</v>
      </c>
      <c r="AF220">
        <f t="shared" si="29"/>
        <v>1753.3999999999999</v>
      </c>
      <c r="AG220">
        <f t="shared" si="30"/>
        <v>433</v>
      </c>
      <c r="AH220">
        <f t="shared" si="31"/>
        <v>262.8</v>
      </c>
      <c r="AI220">
        <f t="shared" si="32"/>
        <v>441.49999999999994</v>
      </c>
      <c r="AJ220">
        <f t="shared" si="33"/>
        <v>277.89999999999998</v>
      </c>
      <c r="AK220">
        <f t="shared" si="34"/>
        <v>436.79999999999995</v>
      </c>
    </row>
    <row r="221" spans="1:37" x14ac:dyDescent="0.25">
      <c r="A221" s="6" t="s">
        <v>30</v>
      </c>
      <c r="B221" s="6">
        <v>2019</v>
      </c>
      <c r="C221" s="6" t="s">
        <v>35</v>
      </c>
      <c r="D221" s="3">
        <v>136.80000000000001</v>
      </c>
      <c r="E221" s="3">
        <v>153</v>
      </c>
      <c r="F221" s="3">
        <v>139.1</v>
      </c>
      <c r="G221" s="3">
        <v>142.5</v>
      </c>
      <c r="H221" s="3">
        <v>124.1</v>
      </c>
      <c r="I221" s="3">
        <v>135.80000000000001</v>
      </c>
      <c r="J221" s="3">
        <v>128.69999999999999</v>
      </c>
      <c r="K221" s="3">
        <v>121.5</v>
      </c>
      <c r="L221" s="3">
        <v>108.3</v>
      </c>
      <c r="M221" s="3">
        <v>139.19999999999999</v>
      </c>
      <c r="N221" s="3">
        <v>137.4</v>
      </c>
      <c r="O221" s="3">
        <v>156.19999999999999</v>
      </c>
      <c r="P221" s="3">
        <v>137.19999999999999</v>
      </c>
      <c r="Q221" s="3">
        <v>162.80000000000001</v>
      </c>
      <c r="R221" s="3">
        <v>150.5</v>
      </c>
      <c r="S221" s="3">
        <v>146.1</v>
      </c>
      <c r="T221" s="3">
        <v>149.9</v>
      </c>
      <c r="U221" s="3" t="s">
        <v>32</v>
      </c>
      <c r="V221" s="3">
        <f t="shared" si="28"/>
        <v>148.5</v>
      </c>
      <c r="W221" s="3">
        <v>145.30000000000001</v>
      </c>
      <c r="X221" s="3">
        <v>150.1</v>
      </c>
      <c r="Y221" s="3">
        <v>149.9</v>
      </c>
      <c r="Z221" s="3">
        <v>129.19999999999999</v>
      </c>
      <c r="AA221" s="3">
        <v>143.4</v>
      </c>
      <c r="AB221" s="3">
        <v>155.5</v>
      </c>
      <c r="AC221" s="3">
        <v>134.9</v>
      </c>
      <c r="AD221" s="3">
        <v>142.19999999999999</v>
      </c>
      <c r="AE221" s="3">
        <v>141</v>
      </c>
      <c r="AF221">
        <f t="shared" si="29"/>
        <v>1759.8000000000002</v>
      </c>
      <c r="AG221">
        <f t="shared" si="30"/>
        <v>446.5</v>
      </c>
      <c r="AH221">
        <f t="shared" si="31"/>
        <v>274.5</v>
      </c>
      <c r="AI221">
        <f t="shared" si="32"/>
        <v>454.1</v>
      </c>
      <c r="AJ221">
        <f t="shared" si="33"/>
        <v>284.8</v>
      </c>
      <c r="AK221">
        <f t="shared" si="34"/>
        <v>448.40000000000003</v>
      </c>
    </row>
    <row r="222" spans="1:37" x14ac:dyDescent="0.25">
      <c r="A222" s="6" t="s">
        <v>33</v>
      </c>
      <c r="B222" s="6">
        <v>2019</v>
      </c>
      <c r="C222" s="6" t="s">
        <v>35</v>
      </c>
      <c r="D222" s="3">
        <v>139.4</v>
      </c>
      <c r="E222" s="3">
        <v>150.1</v>
      </c>
      <c r="F222" s="3">
        <v>145.30000000000001</v>
      </c>
      <c r="G222" s="3">
        <v>141.69999999999999</v>
      </c>
      <c r="H222" s="3">
        <v>118.4</v>
      </c>
      <c r="I222" s="3">
        <v>137</v>
      </c>
      <c r="J222" s="3">
        <v>131.6</v>
      </c>
      <c r="K222" s="3">
        <v>119.9</v>
      </c>
      <c r="L222" s="3">
        <v>110.4</v>
      </c>
      <c r="M222" s="3">
        <v>140.80000000000001</v>
      </c>
      <c r="N222" s="3">
        <v>128.30000000000001</v>
      </c>
      <c r="O222" s="3">
        <v>153.5</v>
      </c>
      <c r="P222" s="3">
        <v>138</v>
      </c>
      <c r="Q222" s="3">
        <v>164.9</v>
      </c>
      <c r="R222" s="3">
        <v>143.30000000000001</v>
      </c>
      <c r="S222" s="3">
        <v>130.80000000000001</v>
      </c>
      <c r="T222" s="3">
        <v>141.4</v>
      </c>
      <c r="U222" s="3">
        <v>148.5</v>
      </c>
      <c r="V222" s="3">
        <f t="shared" si="28"/>
        <v>148.5</v>
      </c>
      <c r="W222" s="3">
        <v>127.1</v>
      </c>
      <c r="X222" s="3">
        <v>136.6</v>
      </c>
      <c r="Y222" s="3">
        <v>138.5</v>
      </c>
      <c r="Z222" s="3">
        <v>119.2</v>
      </c>
      <c r="AA222" s="3">
        <v>132.19999999999999</v>
      </c>
      <c r="AB222" s="3">
        <v>146.6</v>
      </c>
      <c r="AC222" s="3">
        <v>133</v>
      </c>
      <c r="AD222" s="3">
        <v>132.4</v>
      </c>
      <c r="AE222" s="3">
        <v>138.6</v>
      </c>
      <c r="AF222">
        <f t="shared" si="29"/>
        <v>1754.4</v>
      </c>
      <c r="AG222">
        <f t="shared" si="30"/>
        <v>415.5</v>
      </c>
      <c r="AH222">
        <f t="shared" si="31"/>
        <v>246.3</v>
      </c>
      <c r="AI222">
        <f t="shared" si="32"/>
        <v>431.70000000000005</v>
      </c>
      <c r="AJ222">
        <f t="shared" si="33"/>
        <v>271.5</v>
      </c>
      <c r="AK222">
        <f t="shared" si="34"/>
        <v>429.5</v>
      </c>
    </row>
    <row r="223" spans="1:37" x14ac:dyDescent="0.25">
      <c r="A223" s="6" t="s">
        <v>34</v>
      </c>
      <c r="B223" s="6">
        <v>2019</v>
      </c>
      <c r="C223" s="6" t="s">
        <v>35</v>
      </c>
      <c r="D223" s="3">
        <v>137.6</v>
      </c>
      <c r="E223" s="3">
        <v>152</v>
      </c>
      <c r="F223" s="3">
        <v>141.5</v>
      </c>
      <c r="G223" s="3">
        <v>142.19999999999999</v>
      </c>
      <c r="H223" s="3">
        <v>122</v>
      </c>
      <c r="I223" s="3">
        <v>136.4</v>
      </c>
      <c r="J223" s="3">
        <v>129.69999999999999</v>
      </c>
      <c r="K223" s="3">
        <v>121</v>
      </c>
      <c r="L223" s="3">
        <v>109</v>
      </c>
      <c r="M223" s="3">
        <v>139.69999999999999</v>
      </c>
      <c r="N223" s="3">
        <v>133.6</v>
      </c>
      <c r="O223" s="3">
        <v>154.9</v>
      </c>
      <c r="P223" s="3">
        <v>137.5</v>
      </c>
      <c r="Q223" s="3">
        <v>163.4</v>
      </c>
      <c r="R223" s="3">
        <v>147.69999999999999</v>
      </c>
      <c r="S223" s="3">
        <v>139.69999999999999</v>
      </c>
      <c r="T223" s="3">
        <v>146.5</v>
      </c>
      <c r="U223" s="3">
        <v>148.5</v>
      </c>
      <c r="V223" s="3">
        <f t="shared" si="28"/>
        <v>148.5</v>
      </c>
      <c r="W223" s="3">
        <v>138.4</v>
      </c>
      <c r="X223" s="3">
        <v>143.69999999999999</v>
      </c>
      <c r="Y223" s="3">
        <v>145.6</v>
      </c>
      <c r="Z223" s="3">
        <v>123.9</v>
      </c>
      <c r="AA223" s="3">
        <v>137.1</v>
      </c>
      <c r="AB223" s="3">
        <v>150.30000000000001</v>
      </c>
      <c r="AC223" s="3">
        <v>134.1</v>
      </c>
      <c r="AD223" s="3">
        <v>137.4</v>
      </c>
      <c r="AE223" s="3">
        <v>139.9</v>
      </c>
      <c r="AF223">
        <f t="shared" si="29"/>
        <v>1757.1</v>
      </c>
      <c r="AG223">
        <f t="shared" si="30"/>
        <v>433.9</v>
      </c>
      <c r="AH223">
        <f t="shared" si="31"/>
        <v>262.3</v>
      </c>
      <c r="AI223">
        <f t="shared" si="32"/>
        <v>442.5</v>
      </c>
      <c r="AJ223">
        <f t="shared" si="33"/>
        <v>279.7</v>
      </c>
      <c r="AK223">
        <f t="shared" si="34"/>
        <v>437.9</v>
      </c>
    </row>
    <row r="224" spans="1:37" x14ac:dyDescent="0.25">
      <c r="A224" s="6" t="s">
        <v>30</v>
      </c>
      <c r="B224" s="6">
        <v>2019</v>
      </c>
      <c r="C224" s="6" t="s">
        <v>36</v>
      </c>
      <c r="D224" s="3">
        <v>136.9</v>
      </c>
      <c r="E224" s="3">
        <v>154.1</v>
      </c>
      <c r="F224" s="3">
        <v>138.69999999999999</v>
      </c>
      <c r="G224" s="3">
        <v>142.5</v>
      </c>
      <c r="H224" s="3">
        <v>124.1</v>
      </c>
      <c r="I224" s="3">
        <v>136.1</v>
      </c>
      <c r="J224" s="3">
        <v>128.19999999999999</v>
      </c>
      <c r="K224" s="3">
        <v>122.3</v>
      </c>
      <c r="L224" s="3">
        <v>108.3</v>
      </c>
      <c r="M224" s="3">
        <v>138.9</v>
      </c>
      <c r="N224" s="3">
        <v>137.4</v>
      </c>
      <c r="O224" s="3">
        <v>156.4</v>
      </c>
      <c r="P224" s="3">
        <v>137.30000000000001</v>
      </c>
      <c r="Q224" s="3">
        <v>162.9</v>
      </c>
      <c r="R224" s="3">
        <v>150.80000000000001</v>
      </c>
      <c r="S224" s="3">
        <v>146.1</v>
      </c>
      <c r="T224" s="3">
        <v>150.1</v>
      </c>
      <c r="U224" s="3" t="s">
        <v>32</v>
      </c>
      <c r="V224" s="3">
        <f t="shared" si="28"/>
        <v>149</v>
      </c>
      <c r="W224" s="3">
        <v>146.4</v>
      </c>
      <c r="X224" s="3">
        <v>150</v>
      </c>
      <c r="Y224" s="3">
        <v>150.4</v>
      </c>
      <c r="Z224" s="3">
        <v>129.9</v>
      </c>
      <c r="AA224" s="3">
        <v>143.80000000000001</v>
      </c>
      <c r="AB224" s="3">
        <v>155.5</v>
      </c>
      <c r="AC224" s="3">
        <v>134</v>
      </c>
      <c r="AD224" s="3">
        <v>142.4</v>
      </c>
      <c r="AE224" s="3">
        <v>141.19999999999999</v>
      </c>
      <c r="AF224">
        <f t="shared" si="29"/>
        <v>1761.2000000000003</v>
      </c>
      <c r="AG224">
        <f t="shared" si="30"/>
        <v>447</v>
      </c>
      <c r="AH224">
        <f t="shared" si="31"/>
        <v>276.3</v>
      </c>
      <c r="AI224">
        <f t="shared" si="32"/>
        <v>454.5</v>
      </c>
      <c r="AJ224">
        <f t="shared" si="33"/>
        <v>284.39999999999998</v>
      </c>
      <c r="AK224">
        <f t="shared" si="34"/>
        <v>449.1</v>
      </c>
    </row>
    <row r="225" spans="1:37" x14ac:dyDescent="0.25">
      <c r="A225" s="6" t="s">
        <v>33</v>
      </c>
      <c r="B225" s="6">
        <v>2019</v>
      </c>
      <c r="C225" s="6" t="s">
        <v>36</v>
      </c>
      <c r="D225" s="3">
        <v>139.69999999999999</v>
      </c>
      <c r="E225" s="3">
        <v>151.1</v>
      </c>
      <c r="F225" s="3">
        <v>142.9</v>
      </c>
      <c r="G225" s="3">
        <v>141.9</v>
      </c>
      <c r="H225" s="3">
        <v>118.4</v>
      </c>
      <c r="I225" s="3">
        <v>139.4</v>
      </c>
      <c r="J225" s="3">
        <v>141.19999999999999</v>
      </c>
      <c r="K225" s="3">
        <v>120.7</v>
      </c>
      <c r="L225" s="3">
        <v>110.4</v>
      </c>
      <c r="M225" s="3">
        <v>140.69999999999999</v>
      </c>
      <c r="N225" s="3">
        <v>128.5</v>
      </c>
      <c r="O225" s="3">
        <v>153.9</v>
      </c>
      <c r="P225" s="3">
        <v>139.6</v>
      </c>
      <c r="Q225" s="3">
        <v>165.3</v>
      </c>
      <c r="R225" s="3">
        <v>143.5</v>
      </c>
      <c r="S225" s="3">
        <v>131.19999999999999</v>
      </c>
      <c r="T225" s="3">
        <v>141.6</v>
      </c>
      <c r="U225" s="3">
        <v>149</v>
      </c>
      <c r="V225" s="3">
        <f t="shared" si="28"/>
        <v>149</v>
      </c>
      <c r="W225" s="3">
        <v>128.80000000000001</v>
      </c>
      <c r="X225" s="3">
        <v>136.80000000000001</v>
      </c>
      <c r="Y225" s="3">
        <v>139.19999999999999</v>
      </c>
      <c r="Z225" s="3">
        <v>119.9</v>
      </c>
      <c r="AA225" s="3">
        <v>133</v>
      </c>
      <c r="AB225" s="3">
        <v>146.69999999999999</v>
      </c>
      <c r="AC225" s="3">
        <v>132.5</v>
      </c>
      <c r="AD225" s="3">
        <v>132.80000000000001</v>
      </c>
      <c r="AE225" s="3">
        <v>139.5</v>
      </c>
      <c r="AF225">
        <f t="shared" si="29"/>
        <v>1768.4</v>
      </c>
      <c r="AG225">
        <f t="shared" si="30"/>
        <v>416.29999999999995</v>
      </c>
      <c r="AH225">
        <f t="shared" si="31"/>
        <v>248.70000000000002</v>
      </c>
      <c r="AI225">
        <f t="shared" si="32"/>
        <v>432.5</v>
      </c>
      <c r="AJ225">
        <f t="shared" si="33"/>
        <v>271.7</v>
      </c>
      <c r="AK225">
        <f t="shared" si="34"/>
        <v>431.1</v>
      </c>
    </row>
    <row r="226" spans="1:37" x14ac:dyDescent="0.25">
      <c r="A226" s="6" t="s">
        <v>34</v>
      </c>
      <c r="B226" s="6">
        <v>2019</v>
      </c>
      <c r="C226" s="6" t="s">
        <v>36</v>
      </c>
      <c r="D226" s="3">
        <v>137.80000000000001</v>
      </c>
      <c r="E226" s="3">
        <v>153</v>
      </c>
      <c r="F226" s="3">
        <v>140.30000000000001</v>
      </c>
      <c r="G226" s="3">
        <v>142.30000000000001</v>
      </c>
      <c r="H226" s="3">
        <v>122</v>
      </c>
      <c r="I226" s="3">
        <v>137.6</v>
      </c>
      <c r="J226" s="3">
        <v>132.6</v>
      </c>
      <c r="K226" s="3">
        <v>121.8</v>
      </c>
      <c r="L226" s="3">
        <v>109</v>
      </c>
      <c r="M226" s="3">
        <v>139.5</v>
      </c>
      <c r="N226" s="3">
        <v>133.69999999999999</v>
      </c>
      <c r="O226" s="3">
        <v>155.19999999999999</v>
      </c>
      <c r="P226" s="3">
        <v>138.1</v>
      </c>
      <c r="Q226" s="3">
        <v>163.5</v>
      </c>
      <c r="R226" s="3">
        <v>147.9</v>
      </c>
      <c r="S226" s="3">
        <v>139.9</v>
      </c>
      <c r="T226" s="3">
        <v>146.69999999999999</v>
      </c>
      <c r="U226" s="3">
        <v>149</v>
      </c>
      <c r="V226" s="3">
        <f t="shared" si="28"/>
        <v>149</v>
      </c>
      <c r="W226" s="3">
        <v>139.69999999999999</v>
      </c>
      <c r="X226" s="3">
        <v>143.80000000000001</v>
      </c>
      <c r="Y226" s="3">
        <v>146.19999999999999</v>
      </c>
      <c r="Z226" s="3">
        <v>124.6</v>
      </c>
      <c r="AA226" s="3">
        <v>137.69999999999999</v>
      </c>
      <c r="AB226" s="3">
        <v>150.30000000000001</v>
      </c>
      <c r="AC226" s="3">
        <v>133.4</v>
      </c>
      <c r="AD226" s="3">
        <v>137.69999999999999</v>
      </c>
      <c r="AE226" s="3">
        <v>140.4</v>
      </c>
      <c r="AF226">
        <f t="shared" si="29"/>
        <v>1762.9</v>
      </c>
      <c r="AG226">
        <f t="shared" si="30"/>
        <v>434.5</v>
      </c>
      <c r="AH226">
        <f t="shared" si="31"/>
        <v>264.29999999999995</v>
      </c>
      <c r="AI226">
        <f t="shared" si="32"/>
        <v>443.1</v>
      </c>
      <c r="AJ226">
        <f t="shared" si="33"/>
        <v>279.60000000000002</v>
      </c>
      <c r="AK226">
        <f t="shared" si="34"/>
        <v>438.9</v>
      </c>
    </row>
    <row r="227" spans="1:37" x14ac:dyDescent="0.25">
      <c r="A227" s="6" t="s">
        <v>30</v>
      </c>
      <c r="B227" s="6">
        <v>2019</v>
      </c>
      <c r="C227" s="6" t="s">
        <v>38</v>
      </c>
      <c r="D227" s="3">
        <v>137.4</v>
      </c>
      <c r="E227" s="3">
        <v>159.5</v>
      </c>
      <c r="F227" s="3">
        <v>134.5</v>
      </c>
      <c r="G227" s="3">
        <v>142.6</v>
      </c>
      <c r="H227" s="3">
        <v>124</v>
      </c>
      <c r="I227" s="3">
        <v>143.69999999999999</v>
      </c>
      <c r="J227" s="3">
        <v>133.4</v>
      </c>
      <c r="K227" s="3">
        <v>125.1</v>
      </c>
      <c r="L227" s="3">
        <v>109.3</v>
      </c>
      <c r="M227" s="3">
        <v>139.30000000000001</v>
      </c>
      <c r="N227" s="3">
        <v>137.69999999999999</v>
      </c>
      <c r="O227" s="3">
        <v>156.4</v>
      </c>
      <c r="P227" s="3">
        <v>139.19999999999999</v>
      </c>
      <c r="Q227" s="3">
        <v>163.30000000000001</v>
      </c>
      <c r="R227" s="3">
        <v>151.30000000000001</v>
      </c>
      <c r="S227" s="3">
        <v>146.6</v>
      </c>
      <c r="T227" s="3">
        <v>150.69999999999999</v>
      </c>
      <c r="U227" s="3" t="s">
        <v>32</v>
      </c>
      <c r="V227" s="3">
        <f t="shared" si="28"/>
        <v>150.1</v>
      </c>
      <c r="W227" s="3">
        <v>146.9</v>
      </c>
      <c r="X227" s="3">
        <v>149.5</v>
      </c>
      <c r="Y227" s="3">
        <v>151.30000000000001</v>
      </c>
      <c r="Z227" s="3">
        <v>130.19999999999999</v>
      </c>
      <c r="AA227" s="3">
        <v>145.9</v>
      </c>
      <c r="AB227" s="3">
        <v>156.69999999999999</v>
      </c>
      <c r="AC227" s="3">
        <v>133.9</v>
      </c>
      <c r="AD227" s="3">
        <v>142.9</v>
      </c>
      <c r="AE227" s="3">
        <v>142.4</v>
      </c>
      <c r="AF227">
        <f t="shared" si="29"/>
        <v>1782.1000000000001</v>
      </c>
      <c r="AG227">
        <f t="shared" si="30"/>
        <v>448.59999999999997</v>
      </c>
      <c r="AH227">
        <f t="shared" si="31"/>
        <v>277.10000000000002</v>
      </c>
      <c r="AI227">
        <f t="shared" si="32"/>
        <v>456.3</v>
      </c>
      <c r="AJ227">
        <f t="shared" si="33"/>
        <v>285.20000000000005</v>
      </c>
      <c r="AK227">
        <f t="shared" si="34"/>
        <v>452.1</v>
      </c>
    </row>
    <row r="228" spans="1:37" x14ac:dyDescent="0.25">
      <c r="A228" s="6" t="s">
        <v>33</v>
      </c>
      <c r="B228" s="6">
        <v>2019</v>
      </c>
      <c r="C228" s="6" t="s">
        <v>38</v>
      </c>
      <c r="D228" s="3">
        <v>140.4</v>
      </c>
      <c r="E228" s="3">
        <v>156.69999999999999</v>
      </c>
      <c r="F228" s="3">
        <v>138.30000000000001</v>
      </c>
      <c r="G228" s="3">
        <v>142.4</v>
      </c>
      <c r="H228" s="3">
        <v>118.6</v>
      </c>
      <c r="I228" s="3">
        <v>149.69999999999999</v>
      </c>
      <c r="J228" s="3">
        <v>161.6</v>
      </c>
      <c r="K228" s="3">
        <v>124.4</v>
      </c>
      <c r="L228" s="3">
        <v>111.2</v>
      </c>
      <c r="M228" s="3">
        <v>141</v>
      </c>
      <c r="N228" s="3">
        <v>128.9</v>
      </c>
      <c r="O228" s="3">
        <v>154.5</v>
      </c>
      <c r="P228" s="3">
        <v>143.80000000000001</v>
      </c>
      <c r="Q228" s="3">
        <v>166.2</v>
      </c>
      <c r="R228" s="3">
        <v>144</v>
      </c>
      <c r="S228" s="3">
        <v>131.69999999999999</v>
      </c>
      <c r="T228" s="3">
        <v>142.19999999999999</v>
      </c>
      <c r="U228" s="3">
        <v>150.1</v>
      </c>
      <c r="V228" s="3">
        <f t="shared" si="28"/>
        <v>150.1</v>
      </c>
      <c r="W228" s="3">
        <v>129.4</v>
      </c>
      <c r="X228" s="3">
        <v>137.19999999999999</v>
      </c>
      <c r="Y228" s="3">
        <v>139.80000000000001</v>
      </c>
      <c r="Z228" s="3">
        <v>120.1</v>
      </c>
      <c r="AA228" s="3">
        <v>134</v>
      </c>
      <c r="AB228" s="3">
        <v>148</v>
      </c>
      <c r="AC228" s="3">
        <v>132.6</v>
      </c>
      <c r="AD228" s="3">
        <v>133.30000000000001</v>
      </c>
      <c r="AE228" s="3">
        <v>141.5</v>
      </c>
      <c r="AF228">
        <f t="shared" si="29"/>
        <v>1811.5000000000002</v>
      </c>
      <c r="AG228">
        <f t="shared" si="30"/>
        <v>417.9</v>
      </c>
      <c r="AH228">
        <f t="shared" si="31"/>
        <v>249.5</v>
      </c>
      <c r="AI228">
        <f t="shared" si="32"/>
        <v>435.29999999999995</v>
      </c>
      <c r="AJ228">
        <f t="shared" si="33"/>
        <v>272.39999999999998</v>
      </c>
      <c r="AK228">
        <f t="shared" si="34"/>
        <v>433.5</v>
      </c>
    </row>
    <row r="229" spans="1:37" x14ac:dyDescent="0.25">
      <c r="A229" s="6" t="s">
        <v>34</v>
      </c>
      <c r="B229" s="6">
        <v>2019</v>
      </c>
      <c r="C229" s="6" t="s">
        <v>38</v>
      </c>
      <c r="D229" s="3">
        <v>138.30000000000001</v>
      </c>
      <c r="E229" s="3">
        <v>158.5</v>
      </c>
      <c r="F229" s="3">
        <v>136</v>
      </c>
      <c r="G229" s="3">
        <v>142.5</v>
      </c>
      <c r="H229" s="3">
        <v>122</v>
      </c>
      <c r="I229" s="3">
        <v>146.5</v>
      </c>
      <c r="J229" s="3">
        <v>143</v>
      </c>
      <c r="K229" s="3">
        <v>124.9</v>
      </c>
      <c r="L229" s="3">
        <v>109.9</v>
      </c>
      <c r="M229" s="3">
        <v>139.9</v>
      </c>
      <c r="N229" s="3">
        <v>134</v>
      </c>
      <c r="O229" s="3">
        <v>155.5</v>
      </c>
      <c r="P229" s="3">
        <v>140.9</v>
      </c>
      <c r="Q229" s="3">
        <v>164.1</v>
      </c>
      <c r="R229" s="3">
        <v>148.4</v>
      </c>
      <c r="S229" s="3">
        <v>140.4</v>
      </c>
      <c r="T229" s="3">
        <v>147.30000000000001</v>
      </c>
      <c r="U229" s="3">
        <v>150.1</v>
      </c>
      <c r="V229" s="3">
        <f t="shared" si="28"/>
        <v>150.1</v>
      </c>
      <c r="W229" s="3">
        <v>140.30000000000001</v>
      </c>
      <c r="X229" s="3">
        <v>143.69999999999999</v>
      </c>
      <c r="Y229" s="3">
        <v>146.9</v>
      </c>
      <c r="Z229" s="3">
        <v>124.9</v>
      </c>
      <c r="AA229" s="3">
        <v>139.19999999999999</v>
      </c>
      <c r="AB229" s="3">
        <v>151.6</v>
      </c>
      <c r="AC229" s="3">
        <v>133.4</v>
      </c>
      <c r="AD229" s="3">
        <v>138.19999999999999</v>
      </c>
      <c r="AE229" s="3">
        <v>142</v>
      </c>
      <c r="AF229">
        <f t="shared" si="29"/>
        <v>1791.9000000000003</v>
      </c>
      <c r="AG229">
        <f t="shared" si="30"/>
        <v>436.1</v>
      </c>
      <c r="AH229">
        <f t="shared" si="31"/>
        <v>265.20000000000005</v>
      </c>
      <c r="AI229">
        <f t="shared" si="32"/>
        <v>445.4</v>
      </c>
      <c r="AJ229">
        <f t="shared" si="33"/>
        <v>280.3</v>
      </c>
      <c r="AK229">
        <f t="shared" si="34"/>
        <v>441.49999999999994</v>
      </c>
    </row>
    <row r="230" spans="1:37" x14ac:dyDescent="0.25">
      <c r="A230" s="6" t="s">
        <v>30</v>
      </c>
      <c r="B230" s="6">
        <v>2019</v>
      </c>
      <c r="C230" s="6" t="s">
        <v>39</v>
      </c>
      <c r="D230" s="3">
        <v>137.80000000000001</v>
      </c>
      <c r="E230" s="3">
        <v>163.5</v>
      </c>
      <c r="F230" s="3">
        <v>136.19999999999999</v>
      </c>
      <c r="G230" s="3">
        <v>143.19999999999999</v>
      </c>
      <c r="H230" s="3">
        <v>124.3</v>
      </c>
      <c r="I230" s="3">
        <v>143.30000000000001</v>
      </c>
      <c r="J230" s="3">
        <v>140.6</v>
      </c>
      <c r="K230" s="3">
        <v>128.69999999999999</v>
      </c>
      <c r="L230" s="3">
        <v>110.6</v>
      </c>
      <c r="M230" s="3">
        <v>140.4</v>
      </c>
      <c r="N230" s="3">
        <v>138</v>
      </c>
      <c r="O230" s="3">
        <v>156.6</v>
      </c>
      <c r="P230" s="3">
        <v>141</v>
      </c>
      <c r="Q230" s="3">
        <v>164.2</v>
      </c>
      <c r="R230" s="3">
        <v>151.4</v>
      </c>
      <c r="S230" s="3">
        <v>146.5</v>
      </c>
      <c r="T230" s="3">
        <v>150.69999999999999</v>
      </c>
      <c r="U230" s="3" t="s">
        <v>32</v>
      </c>
      <c r="V230" s="3">
        <f t="shared" si="28"/>
        <v>149.4</v>
      </c>
      <c r="W230" s="3">
        <v>147.80000000000001</v>
      </c>
      <c r="X230" s="3">
        <v>149.6</v>
      </c>
      <c r="Y230" s="3">
        <v>151.69999999999999</v>
      </c>
      <c r="Z230" s="3">
        <v>130.19999999999999</v>
      </c>
      <c r="AA230" s="3">
        <v>146.4</v>
      </c>
      <c r="AB230" s="3">
        <v>157.69999999999999</v>
      </c>
      <c r="AC230" s="3">
        <v>134.80000000000001</v>
      </c>
      <c r="AD230" s="3">
        <v>143.30000000000001</v>
      </c>
      <c r="AE230" s="3">
        <v>143.6</v>
      </c>
      <c r="AF230">
        <f t="shared" si="29"/>
        <v>1804.1999999999998</v>
      </c>
      <c r="AG230">
        <f t="shared" si="30"/>
        <v>448.59999999999997</v>
      </c>
      <c r="AH230">
        <f t="shared" si="31"/>
        <v>278</v>
      </c>
      <c r="AI230">
        <f t="shared" si="32"/>
        <v>456.7</v>
      </c>
      <c r="AJ230">
        <f t="shared" si="33"/>
        <v>286.5</v>
      </c>
      <c r="AK230">
        <f t="shared" si="34"/>
        <v>453.90000000000003</v>
      </c>
    </row>
    <row r="231" spans="1:37" x14ac:dyDescent="0.25">
      <c r="A231" s="6" t="s">
        <v>33</v>
      </c>
      <c r="B231" s="6">
        <v>2019</v>
      </c>
      <c r="C231" s="6" t="s">
        <v>39</v>
      </c>
      <c r="D231" s="3">
        <v>140.69999999999999</v>
      </c>
      <c r="E231" s="3">
        <v>159.6</v>
      </c>
      <c r="F231" s="3">
        <v>140.4</v>
      </c>
      <c r="G231" s="3">
        <v>143.4</v>
      </c>
      <c r="H231" s="3">
        <v>118.6</v>
      </c>
      <c r="I231" s="3">
        <v>150.9</v>
      </c>
      <c r="J231" s="3">
        <v>169.8</v>
      </c>
      <c r="K231" s="3">
        <v>127.4</v>
      </c>
      <c r="L231" s="3">
        <v>111.8</v>
      </c>
      <c r="M231" s="3">
        <v>141</v>
      </c>
      <c r="N231" s="3">
        <v>129</v>
      </c>
      <c r="O231" s="3">
        <v>155.1</v>
      </c>
      <c r="P231" s="3">
        <v>145.6</v>
      </c>
      <c r="Q231" s="3">
        <v>166.7</v>
      </c>
      <c r="R231" s="3">
        <v>144.30000000000001</v>
      </c>
      <c r="S231" s="3">
        <v>131.69999999999999</v>
      </c>
      <c r="T231" s="3">
        <v>142.4</v>
      </c>
      <c r="U231" s="3">
        <v>149.4</v>
      </c>
      <c r="V231" s="3">
        <f t="shared" si="28"/>
        <v>149.4</v>
      </c>
      <c r="W231" s="3">
        <v>130.5</v>
      </c>
      <c r="X231" s="3">
        <v>137.4</v>
      </c>
      <c r="Y231" s="3">
        <v>140.30000000000001</v>
      </c>
      <c r="Z231" s="3">
        <v>119.6</v>
      </c>
      <c r="AA231" s="3">
        <v>134.30000000000001</v>
      </c>
      <c r="AB231" s="3">
        <v>148.9</v>
      </c>
      <c r="AC231" s="3">
        <v>133.69999999999999</v>
      </c>
      <c r="AD231" s="3">
        <v>133.6</v>
      </c>
      <c r="AE231" s="3">
        <v>142.1</v>
      </c>
      <c r="AF231">
        <f t="shared" si="29"/>
        <v>1833.2999999999997</v>
      </c>
      <c r="AG231">
        <f t="shared" si="30"/>
        <v>418.4</v>
      </c>
      <c r="AH231">
        <f t="shared" si="31"/>
        <v>250.1</v>
      </c>
      <c r="AI231">
        <f t="shared" si="32"/>
        <v>435.70000000000005</v>
      </c>
      <c r="AJ231">
        <f t="shared" si="33"/>
        <v>274</v>
      </c>
      <c r="AK231">
        <f t="shared" si="34"/>
        <v>434.6</v>
      </c>
    </row>
    <row r="232" spans="1:37" x14ac:dyDescent="0.25">
      <c r="A232" s="6" t="s">
        <v>34</v>
      </c>
      <c r="B232" s="6">
        <v>2019</v>
      </c>
      <c r="C232" s="6" t="s">
        <v>39</v>
      </c>
      <c r="D232" s="3">
        <v>138.69999999999999</v>
      </c>
      <c r="E232" s="3">
        <v>162.1</v>
      </c>
      <c r="F232" s="3">
        <v>137.80000000000001</v>
      </c>
      <c r="G232" s="3">
        <v>143.30000000000001</v>
      </c>
      <c r="H232" s="3">
        <v>122.2</v>
      </c>
      <c r="I232" s="3">
        <v>146.80000000000001</v>
      </c>
      <c r="J232" s="3">
        <v>150.5</v>
      </c>
      <c r="K232" s="3">
        <v>128.30000000000001</v>
      </c>
      <c r="L232" s="3">
        <v>111</v>
      </c>
      <c r="M232" s="3">
        <v>140.6</v>
      </c>
      <c r="N232" s="3">
        <v>134.19999999999999</v>
      </c>
      <c r="O232" s="3">
        <v>155.9</v>
      </c>
      <c r="P232" s="3">
        <v>142.69999999999999</v>
      </c>
      <c r="Q232" s="3">
        <v>164.9</v>
      </c>
      <c r="R232" s="3">
        <v>148.6</v>
      </c>
      <c r="S232" s="3">
        <v>140.4</v>
      </c>
      <c r="T232" s="3">
        <v>147.4</v>
      </c>
      <c r="U232" s="3">
        <v>149.4</v>
      </c>
      <c r="V232" s="3">
        <f t="shared" si="28"/>
        <v>149.4</v>
      </c>
      <c r="W232" s="3">
        <v>141.19999999999999</v>
      </c>
      <c r="X232" s="3">
        <v>143.80000000000001</v>
      </c>
      <c r="Y232" s="3">
        <v>147.4</v>
      </c>
      <c r="Z232" s="3">
        <v>124.6</v>
      </c>
      <c r="AA232" s="3">
        <v>139.6</v>
      </c>
      <c r="AB232" s="3">
        <v>152.5</v>
      </c>
      <c r="AC232" s="3">
        <v>134.30000000000001</v>
      </c>
      <c r="AD232" s="3">
        <v>138.6</v>
      </c>
      <c r="AE232" s="3">
        <v>142.9</v>
      </c>
      <c r="AF232">
        <f t="shared" si="29"/>
        <v>1814.1000000000001</v>
      </c>
      <c r="AG232">
        <f t="shared" si="30"/>
        <v>436.4</v>
      </c>
      <c r="AH232">
        <f t="shared" si="31"/>
        <v>265.79999999999995</v>
      </c>
      <c r="AI232">
        <f t="shared" si="32"/>
        <v>445.70000000000005</v>
      </c>
      <c r="AJ232">
        <f t="shared" si="33"/>
        <v>281.70000000000005</v>
      </c>
      <c r="AK232">
        <f t="shared" si="34"/>
        <v>443.1</v>
      </c>
    </row>
    <row r="233" spans="1:37" x14ac:dyDescent="0.25">
      <c r="A233" s="6" t="s">
        <v>30</v>
      </c>
      <c r="B233" s="6">
        <v>2019</v>
      </c>
      <c r="C233" s="6" t="s">
        <v>40</v>
      </c>
      <c r="D233" s="3">
        <v>138.4</v>
      </c>
      <c r="E233" s="3">
        <v>164</v>
      </c>
      <c r="F233" s="3">
        <v>138.4</v>
      </c>
      <c r="G233" s="3">
        <v>143.9</v>
      </c>
      <c r="H233" s="3">
        <v>124.4</v>
      </c>
      <c r="I233" s="3">
        <v>146.4</v>
      </c>
      <c r="J233" s="3">
        <v>150.1</v>
      </c>
      <c r="K233" s="3">
        <v>130.6</v>
      </c>
      <c r="L233" s="3">
        <v>110.8</v>
      </c>
      <c r="M233" s="3">
        <v>141.69999999999999</v>
      </c>
      <c r="N233" s="3">
        <v>138.5</v>
      </c>
      <c r="O233" s="3">
        <v>156.69999999999999</v>
      </c>
      <c r="P233" s="3">
        <v>143</v>
      </c>
      <c r="Q233" s="3">
        <v>164.5</v>
      </c>
      <c r="R233" s="3">
        <v>151.6</v>
      </c>
      <c r="S233" s="3">
        <v>146.6</v>
      </c>
      <c r="T233" s="3">
        <v>150.9</v>
      </c>
      <c r="U233" s="3" t="s">
        <v>32</v>
      </c>
      <c r="V233" s="3">
        <f t="shared" si="28"/>
        <v>150.6</v>
      </c>
      <c r="W233" s="3">
        <v>146.80000000000001</v>
      </c>
      <c r="X233" s="3">
        <v>150</v>
      </c>
      <c r="Y233" s="3">
        <v>152.19999999999999</v>
      </c>
      <c r="Z233" s="3">
        <v>131.19999999999999</v>
      </c>
      <c r="AA233" s="3">
        <v>147.5</v>
      </c>
      <c r="AB233" s="3">
        <v>159.1</v>
      </c>
      <c r="AC233" s="3">
        <v>136.1</v>
      </c>
      <c r="AD233" s="3">
        <v>144.19999999999999</v>
      </c>
      <c r="AE233" s="3">
        <v>144.9</v>
      </c>
      <c r="AF233">
        <f t="shared" si="29"/>
        <v>1826.8999999999999</v>
      </c>
      <c r="AG233">
        <f t="shared" si="30"/>
        <v>449.1</v>
      </c>
      <c r="AH233">
        <f t="shared" si="31"/>
        <v>278</v>
      </c>
      <c r="AI233">
        <f t="shared" si="32"/>
        <v>459.70000000000005</v>
      </c>
      <c r="AJ233">
        <f t="shared" si="33"/>
        <v>288.29999999999995</v>
      </c>
      <c r="AK233">
        <f t="shared" si="34"/>
        <v>456.2</v>
      </c>
    </row>
    <row r="234" spans="1:37" x14ac:dyDescent="0.25">
      <c r="A234" s="6" t="s">
        <v>33</v>
      </c>
      <c r="B234" s="6">
        <v>2019</v>
      </c>
      <c r="C234" s="6" t="s">
        <v>40</v>
      </c>
      <c r="D234" s="3">
        <v>141.4</v>
      </c>
      <c r="E234" s="3">
        <v>160.19999999999999</v>
      </c>
      <c r="F234" s="3">
        <v>142.5</v>
      </c>
      <c r="G234" s="3">
        <v>144.1</v>
      </c>
      <c r="H234" s="3">
        <v>119.3</v>
      </c>
      <c r="I234" s="3">
        <v>154.69999999999999</v>
      </c>
      <c r="J234" s="3">
        <v>180.1</v>
      </c>
      <c r="K234" s="3">
        <v>128.9</v>
      </c>
      <c r="L234" s="3">
        <v>111.8</v>
      </c>
      <c r="M234" s="3">
        <v>141.6</v>
      </c>
      <c r="N234" s="3">
        <v>129.5</v>
      </c>
      <c r="O234" s="3">
        <v>155.6</v>
      </c>
      <c r="P234" s="3">
        <v>147.69999999999999</v>
      </c>
      <c r="Q234" s="3">
        <v>167.2</v>
      </c>
      <c r="R234" s="3">
        <v>144.69999999999999</v>
      </c>
      <c r="S234" s="3">
        <v>131.9</v>
      </c>
      <c r="T234" s="3">
        <v>142.69999999999999</v>
      </c>
      <c r="U234" s="3">
        <v>150.6</v>
      </c>
      <c r="V234" s="3">
        <f t="shared" si="28"/>
        <v>150.6</v>
      </c>
      <c r="W234" s="3">
        <v>127</v>
      </c>
      <c r="X234" s="3">
        <v>137.69999999999999</v>
      </c>
      <c r="Y234" s="3">
        <v>140.80000000000001</v>
      </c>
      <c r="Z234" s="3">
        <v>120.6</v>
      </c>
      <c r="AA234" s="3">
        <v>135</v>
      </c>
      <c r="AB234" s="3">
        <v>150.4</v>
      </c>
      <c r="AC234" s="3">
        <v>135.1</v>
      </c>
      <c r="AD234" s="3">
        <v>134.5</v>
      </c>
      <c r="AE234" s="3">
        <v>143.30000000000001</v>
      </c>
      <c r="AF234">
        <f t="shared" si="29"/>
        <v>1857.3999999999999</v>
      </c>
      <c r="AG234">
        <f t="shared" si="30"/>
        <v>419.3</v>
      </c>
      <c r="AH234">
        <f t="shared" si="31"/>
        <v>247.6</v>
      </c>
      <c r="AI234">
        <f t="shared" si="32"/>
        <v>438.69999999999993</v>
      </c>
      <c r="AJ234">
        <f t="shared" si="33"/>
        <v>275.89999999999998</v>
      </c>
      <c r="AK234">
        <f t="shared" si="34"/>
        <v>436.7</v>
      </c>
    </row>
    <row r="235" spans="1:37" x14ac:dyDescent="0.25">
      <c r="A235" s="6" t="s">
        <v>34</v>
      </c>
      <c r="B235" s="6">
        <v>2019</v>
      </c>
      <c r="C235" s="6" t="s">
        <v>40</v>
      </c>
      <c r="D235" s="3">
        <v>139.30000000000001</v>
      </c>
      <c r="E235" s="3">
        <v>162.69999999999999</v>
      </c>
      <c r="F235" s="3">
        <v>140</v>
      </c>
      <c r="G235" s="3">
        <v>144</v>
      </c>
      <c r="H235" s="3">
        <v>122.5</v>
      </c>
      <c r="I235" s="3">
        <v>150.30000000000001</v>
      </c>
      <c r="J235" s="3">
        <v>160.30000000000001</v>
      </c>
      <c r="K235" s="3">
        <v>130</v>
      </c>
      <c r="L235" s="3">
        <v>111.1</v>
      </c>
      <c r="M235" s="3">
        <v>141.69999999999999</v>
      </c>
      <c r="N235" s="3">
        <v>134.69999999999999</v>
      </c>
      <c r="O235" s="3">
        <v>156.19999999999999</v>
      </c>
      <c r="P235" s="3">
        <v>144.69999999999999</v>
      </c>
      <c r="Q235" s="3">
        <v>165.2</v>
      </c>
      <c r="R235" s="3">
        <v>148.9</v>
      </c>
      <c r="S235" s="3">
        <v>140.5</v>
      </c>
      <c r="T235" s="3">
        <v>147.6</v>
      </c>
      <c r="U235" s="3">
        <v>150.6</v>
      </c>
      <c r="V235" s="3">
        <f t="shared" si="28"/>
        <v>150.6</v>
      </c>
      <c r="W235" s="3">
        <v>139.30000000000001</v>
      </c>
      <c r="X235" s="3">
        <v>144.19999999999999</v>
      </c>
      <c r="Y235" s="3">
        <v>147.9</v>
      </c>
      <c r="Z235" s="3">
        <v>125.6</v>
      </c>
      <c r="AA235" s="3">
        <v>140.5</v>
      </c>
      <c r="AB235" s="3">
        <v>154</v>
      </c>
      <c r="AC235" s="3">
        <v>135.69999999999999</v>
      </c>
      <c r="AD235" s="3">
        <v>139.5</v>
      </c>
      <c r="AE235" s="3">
        <v>144.19999999999999</v>
      </c>
      <c r="AF235">
        <f t="shared" si="29"/>
        <v>1837.5</v>
      </c>
      <c r="AG235">
        <f t="shared" si="30"/>
        <v>437</v>
      </c>
      <c r="AH235">
        <f t="shared" si="31"/>
        <v>264.89999999999998</v>
      </c>
      <c r="AI235">
        <f t="shared" si="32"/>
        <v>448.79999999999995</v>
      </c>
      <c r="AJ235">
        <f t="shared" si="33"/>
        <v>283.60000000000002</v>
      </c>
      <c r="AK235">
        <f t="shared" si="34"/>
        <v>445.2</v>
      </c>
    </row>
    <row r="236" spans="1:37" x14ac:dyDescent="0.25">
      <c r="A236" s="6" t="s">
        <v>30</v>
      </c>
      <c r="B236" s="6">
        <v>2019</v>
      </c>
      <c r="C236" s="6" t="s">
        <v>41</v>
      </c>
      <c r="D236" s="3">
        <v>139.19999999999999</v>
      </c>
      <c r="E236" s="3">
        <v>161.9</v>
      </c>
      <c r="F236" s="3">
        <v>137.1</v>
      </c>
      <c r="G236" s="3">
        <v>144.6</v>
      </c>
      <c r="H236" s="3">
        <v>124.7</v>
      </c>
      <c r="I236" s="3">
        <v>145.5</v>
      </c>
      <c r="J236" s="3">
        <v>156.19999999999999</v>
      </c>
      <c r="K236" s="3">
        <v>131.5</v>
      </c>
      <c r="L236" s="3">
        <v>111.7</v>
      </c>
      <c r="M236" s="3">
        <v>142.69999999999999</v>
      </c>
      <c r="N236" s="3">
        <v>138.5</v>
      </c>
      <c r="O236" s="3">
        <v>156.9</v>
      </c>
      <c r="P236" s="3">
        <v>144</v>
      </c>
      <c r="Q236" s="3">
        <v>165.1</v>
      </c>
      <c r="R236" s="3">
        <v>151.80000000000001</v>
      </c>
      <c r="S236" s="3">
        <v>146.6</v>
      </c>
      <c r="T236" s="3">
        <v>151.1</v>
      </c>
      <c r="U236" s="3" t="s">
        <v>32</v>
      </c>
      <c r="V236" s="3">
        <f t="shared" si="28"/>
        <v>151.6</v>
      </c>
      <c r="W236" s="3">
        <v>146.4</v>
      </c>
      <c r="X236" s="3">
        <v>150.19999999999999</v>
      </c>
      <c r="Y236" s="3">
        <v>152.69999999999999</v>
      </c>
      <c r="Z236" s="3">
        <v>131.4</v>
      </c>
      <c r="AA236" s="3">
        <v>148</v>
      </c>
      <c r="AB236" s="3">
        <v>159.69999999999999</v>
      </c>
      <c r="AC236" s="3">
        <v>138.80000000000001</v>
      </c>
      <c r="AD236" s="3">
        <v>144.9</v>
      </c>
      <c r="AE236" s="3">
        <v>145.69999999999999</v>
      </c>
      <c r="AF236">
        <f t="shared" si="29"/>
        <v>1834.5000000000002</v>
      </c>
      <c r="AG236">
        <f t="shared" si="30"/>
        <v>449.5</v>
      </c>
      <c r="AH236">
        <f t="shared" si="31"/>
        <v>277.8</v>
      </c>
      <c r="AI236">
        <f t="shared" si="32"/>
        <v>461.49999999999994</v>
      </c>
      <c r="AJ236">
        <f t="shared" si="33"/>
        <v>291.5</v>
      </c>
      <c r="AK236">
        <f t="shared" si="34"/>
        <v>458</v>
      </c>
    </row>
    <row r="237" spans="1:37" x14ac:dyDescent="0.25">
      <c r="A237" s="6" t="s">
        <v>33</v>
      </c>
      <c r="B237" s="6">
        <v>2019</v>
      </c>
      <c r="C237" s="6" t="s">
        <v>41</v>
      </c>
      <c r="D237" s="3">
        <v>142.1</v>
      </c>
      <c r="E237" s="3">
        <v>158.30000000000001</v>
      </c>
      <c r="F237" s="3">
        <v>140.80000000000001</v>
      </c>
      <c r="G237" s="3">
        <v>144.9</v>
      </c>
      <c r="H237" s="3">
        <v>119.9</v>
      </c>
      <c r="I237" s="3">
        <v>153.9</v>
      </c>
      <c r="J237" s="3">
        <v>189.1</v>
      </c>
      <c r="K237" s="3">
        <v>129.80000000000001</v>
      </c>
      <c r="L237" s="3">
        <v>112.7</v>
      </c>
      <c r="M237" s="3">
        <v>142.5</v>
      </c>
      <c r="N237" s="3">
        <v>129.80000000000001</v>
      </c>
      <c r="O237" s="3">
        <v>156.19999999999999</v>
      </c>
      <c r="P237" s="3">
        <v>149.1</v>
      </c>
      <c r="Q237" s="3">
        <v>167.9</v>
      </c>
      <c r="R237" s="3">
        <v>145</v>
      </c>
      <c r="S237" s="3">
        <v>132.19999999999999</v>
      </c>
      <c r="T237" s="3">
        <v>143</v>
      </c>
      <c r="U237" s="3">
        <v>151.6</v>
      </c>
      <c r="V237" s="3">
        <f t="shared" si="28"/>
        <v>151.6</v>
      </c>
      <c r="W237" s="3">
        <v>125.5</v>
      </c>
      <c r="X237" s="3">
        <v>138.1</v>
      </c>
      <c r="Y237" s="3">
        <v>141.5</v>
      </c>
      <c r="Z237" s="3">
        <v>120.8</v>
      </c>
      <c r="AA237" s="3">
        <v>135.4</v>
      </c>
      <c r="AB237" s="3">
        <v>151.5</v>
      </c>
      <c r="AC237" s="3">
        <v>137.80000000000001</v>
      </c>
      <c r="AD237" s="3">
        <v>135.30000000000001</v>
      </c>
      <c r="AE237" s="3">
        <v>144.19999999999999</v>
      </c>
      <c r="AF237">
        <f t="shared" si="29"/>
        <v>1869.1</v>
      </c>
      <c r="AG237">
        <f t="shared" si="30"/>
        <v>420.2</v>
      </c>
      <c r="AH237">
        <f t="shared" si="31"/>
        <v>246.3</v>
      </c>
      <c r="AI237">
        <f t="shared" si="32"/>
        <v>441.2</v>
      </c>
      <c r="AJ237">
        <f t="shared" si="33"/>
        <v>279.3</v>
      </c>
      <c r="AK237">
        <f t="shared" si="34"/>
        <v>438.6</v>
      </c>
    </row>
    <row r="238" spans="1:37" x14ac:dyDescent="0.25">
      <c r="A238" s="6" t="s">
        <v>34</v>
      </c>
      <c r="B238" s="6">
        <v>2019</v>
      </c>
      <c r="C238" s="6" t="s">
        <v>41</v>
      </c>
      <c r="D238" s="3">
        <v>140.1</v>
      </c>
      <c r="E238" s="3">
        <v>160.6</v>
      </c>
      <c r="F238" s="3">
        <v>138.5</v>
      </c>
      <c r="G238" s="3">
        <v>144.69999999999999</v>
      </c>
      <c r="H238" s="3">
        <v>122.9</v>
      </c>
      <c r="I238" s="3">
        <v>149.4</v>
      </c>
      <c r="J238" s="3">
        <v>167.4</v>
      </c>
      <c r="K238" s="3">
        <v>130.9</v>
      </c>
      <c r="L238" s="3">
        <v>112</v>
      </c>
      <c r="M238" s="3">
        <v>142.6</v>
      </c>
      <c r="N238" s="3">
        <v>134.9</v>
      </c>
      <c r="O238" s="3">
        <v>156.6</v>
      </c>
      <c r="P238" s="3">
        <v>145.9</v>
      </c>
      <c r="Q238" s="3">
        <v>165.8</v>
      </c>
      <c r="R238" s="3">
        <v>149.1</v>
      </c>
      <c r="S238" s="3">
        <v>140.6</v>
      </c>
      <c r="T238" s="3">
        <v>147.9</v>
      </c>
      <c r="U238" s="3">
        <v>151.6</v>
      </c>
      <c r="V238" s="3">
        <f t="shared" si="28"/>
        <v>151.6</v>
      </c>
      <c r="W238" s="3">
        <v>138.5</v>
      </c>
      <c r="X238" s="3">
        <v>144.5</v>
      </c>
      <c r="Y238" s="3">
        <v>148.5</v>
      </c>
      <c r="Z238" s="3">
        <v>125.8</v>
      </c>
      <c r="AA238" s="3">
        <v>140.9</v>
      </c>
      <c r="AB238" s="3">
        <v>154.9</v>
      </c>
      <c r="AC238" s="3">
        <v>138.4</v>
      </c>
      <c r="AD238" s="3">
        <v>140.19999999999999</v>
      </c>
      <c r="AE238" s="3">
        <v>145</v>
      </c>
      <c r="AF238">
        <f t="shared" si="29"/>
        <v>1846.5</v>
      </c>
      <c r="AG238">
        <f t="shared" si="30"/>
        <v>437.6</v>
      </c>
      <c r="AH238">
        <f t="shared" si="31"/>
        <v>264.3</v>
      </c>
      <c r="AI238">
        <f t="shared" si="32"/>
        <v>451</v>
      </c>
      <c r="AJ238">
        <f t="shared" si="33"/>
        <v>286.89999999999998</v>
      </c>
      <c r="AK238">
        <f t="shared" si="34"/>
        <v>446.90000000000003</v>
      </c>
    </row>
    <row r="239" spans="1:37" x14ac:dyDescent="0.25">
      <c r="A239" s="6" t="s">
        <v>30</v>
      </c>
      <c r="B239" s="6">
        <v>2019</v>
      </c>
      <c r="C239" s="6" t="s">
        <v>42</v>
      </c>
      <c r="D239" s="3">
        <v>140.1</v>
      </c>
      <c r="E239" s="3">
        <v>161.9</v>
      </c>
      <c r="F239" s="3">
        <v>138.30000000000001</v>
      </c>
      <c r="G239" s="3">
        <v>145.69999999999999</v>
      </c>
      <c r="H239" s="3">
        <v>125.1</v>
      </c>
      <c r="I239" s="3">
        <v>143.80000000000001</v>
      </c>
      <c r="J239" s="3">
        <v>163.4</v>
      </c>
      <c r="K239" s="3">
        <v>132.19999999999999</v>
      </c>
      <c r="L239" s="3">
        <v>112.8</v>
      </c>
      <c r="M239" s="3">
        <v>144.19999999999999</v>
      </c>
      <c r="N239" s="3">
        <v>138.5</v>
      </c>
      <c r="O239" s="3">
        <v>157.19999999999999</v>
      </c>
      <c r="P239" s="3">
        <v>145.5</v>
      </c>
      <c r="Q239" s="3">
        <v>165.7</v>
      </c>
      <c r="R239" s="3">
        <v>151.69999999999999</v>
      </c>
      <c r="S239" s="3">
        <v>146.6</v>
      </c>
      <c r="T239" s="3">
        <v>151</v>
      </c>
      <c r="U239" s="3" t="s">
        <v>32</v>
      </c>
      <c r="V239" s="3">
        <f t="shared" si="28"/>
        <v>152.19999999999999</v>
      </c>
      <c r="W239" s="3">
        <v>146.9</v>
      </c>
      <c r="X239" s="3">
        <v>150.30000000000001</v>
      </c>
      <c r="Y239" s="3">
        <v>153.4</v>
      </c>
      <c r="Z239" s="3">
        <v>131.6</v>
      </c>
      <c r="AA239" s="3">
        <v>148.30000000000001</v>
      </c>
      <c r="AB239" s="3">
        <v>160.19999999999999</v>
      </c>
      <c r="AC239" s="3">
        <v>140.19999999999999</v>
      </c>
      <c r="AD239" s="3">
        <v>145.4</v>
      </c>
      <c r="AE239" s="3">
        <v>146.69999999999999</v>
      </c>
      <c r="AF239">
        <f t="shared" si="29"/>
        <v>1848.7</v>
      </c>
      <c r="AG239">
        <f t="shared" si="30"/>
        <v>449.29999999999995</v>
      </c>
      <c r="AH239">
        <f t="shared" si="31"/>
        <v>278.5</v>
      </c>
      <c r="AI239">
        <f t="shared" si="32"/>
        <v>462.7</v>
      </c>
      <c r="AJ239">
        <f t="shared" si="33"/>
        <v>293.60000000000002</v>
      </c>
      <c r="AK239">
        <f t="shared" si="34"/>
        <v>459.4</v>
      </c>
    </row>
    <row r="240" spans="1:37" x14ac:dyDescent="0.25">
      <c r="A240" s="6" t="s">
        <v>33</v>
      </c>
      <c r="B240" s="6">
        <v>2019</v>
      </c>
      <c r="C240" s="6" t="s">
        <v>42</v>
      </c>
      <c r="D240" s="3">
        <v>142.69999999999999</v>
      </c>
      <c r="E240" s="3">
        <v>158.69999999999999</v>
      </c>
      <c r="F240" s="3">
        <v>141.6</v>
      </c>
      <c r="G240" s="3">
        <v>144.9</v>
      </c>
      <c r="H240" s="3">
        <v>120.8</v>
      </c>
      <c r="I240" s="3">
        <v>149.80000000000001</v>
      </c>
      <c r="J240" s="3">
        <v>192.4</v>
      </c>
      <c r="K240" s="3">
        <v>130.30000000000001</v>
      </c>
      <c r="L240" s="3">
        <v>114</v>
      </c>
      <c r="M240" s="3">
        <v>143.80000000000001</v>
      </c>
      <c r="N240" s="3">
        <v>130</v>
      </c>
      <c r="O240" s="3">
        <v>156.4</v>
      </c>
      <c r="P240" s="3">
        <v>149.5</v>
      </c>
      <c r="Q240" s="3">
        <v>168.6</v>
      </c>
      <c r="R240" s="3">
        <v>145.30000000000001</v>
      </c>
      <c r="S240" s="3">
        <v>132.19999999999999</v>
      </c>
      <c r="T240" s="3">
        <v>143.30000000000001</v>
      </c>
      <c r="U240" s="3">
        <v>152.19999999999999</v>
      </c>
      <c r="V240" s="3">
        <f t="shared" si="28"/>
        <v>152.19999999999999</v>
      </c>
      <c r="W240" s="3">
        <v>126.6</v>
      </c>
      <c r="X240" s="3">
        <v>138.30000000000001</v>
      </c>
      <c r="Y240" s="3">
        <v>141.9</v>
      </c>
      <c r="Z240" s="3">
        <v>121.2</v>
      </c>
      <c r="AA240" s="3">
        <v>135.9</v>
      </c>
      <c r="AB240" s="3">
        <v>151.6</v>
      </c>
      <c r="AC240" s="3">
        <v>139</v>
      </c>
      <c r="AD240" s="3">
        <v>135.69999999999999</v>
      </c>
      <c r="AE240" s="3">
        <v>144.69999999999999</v>
      </c>
      <c r="AF240">
        <f t="shared" si="29"/>
        <v>1874.9</v>
      </c>
      <c r="AG240">
        <f t="shared" si="30"/>
        <v>420.8</v>
      </c>
      <c r="AH240">
        <f t="shared" si="31"/>
        <v>247.8</v>
      </c>
      <c r="AI240">
        <f t="shared" si="32"/>
        <v>442.1</v>
      </c>
      <c r="AJ240">
        <f t="shared" si="33"/>
        <v>280.89999999999998</v>
      </c>
      <c r="AK240">
        <f t="shared" si="34"/>
        <v>440.2</v>
      </c>
    </row>
    <row r="241" spans="1:37" x14ac:dyDescent="0.25">
      <c r="A241" s="6" t="s">
        <v>34</v>
      </c>
      <c r="B241" s="6">
        <v>2019</v>
      </c>
      <c r="C241" s="6" t="s">
        <v>42</v>
      </c>
      <c r="D241" s="3">
        <v>140.9</v>
      </c>
      <c r="E241" s="3">
        <v>160.80000000000001</v>
      </c>
      <c r="F241" s="3">
        <v>139.6</v>
      </c>
      <c r="G241" s="3">
        <v>145.4</v>
      </c>
      <c r="H241" s="3">
        <v>123.5</v>
      </c>
      <c r="I241" s="3">
        <v>146.6</v>
      </c>
      <c r="J241" s="3">
        <v>173.2</v>
      </c>
      <c r="K241" s="3">
        <v>131.6</v>
      </c>
      <c r="L241" s="3">
        <v>113.2</v>
      </c>
      <c r="M241" s="3">
        <v>144.1</v>
      </c>
      <c r="N241" s="3">
        <v>135</v>
      </c>
      <c r="O241" s="3">
        <v>156.80000000000001</v>
      </c>
      <c r="P241" s="3">
        <v>147</v>
      </c>
      <c r="Q241" s="3">
        <v>166.5</v>
      </c>
      <c r="R241" s="3">
        <v>149.19999999999999</v>
      </c>
      <c r="S241" s="3">
        <v>140.6</v>
      </c>
      <c r="T241" s="3">
        <v>147.9</v>
      </c>
      <c r="U241" s="3">
        <v>152.19999999999999</v>
      </c>
      <c r="V241" s="3">
        <f t="shared" si="28"/>
        <v>152.19999999999999</v>
      </c>
      <c r="W241" s="3">
        <v>139.19999999999999</v>
      </c>
      <c r="X241" s="3">
        <v>144.6</v>
      </c>
      <c r="Y241" s="3">
        <v>149</v>
      </c>
      <c r="Z241" s="3">
        <v>126.1</v>
      </c>
      <c r="AA241" s="3">
        <v>141.30000000000001</v>
      </c>
      <c r="AB241" s="3">
        <v>155.19999999999999</v>
      </c>
      <c r="AC241" s="3">
        <v>139.69999999999999</v>
      </c>
      <c r="AD241" s="3">
        <v>140.69999999999999</v>
      </c>
      <c r="AE241" s="3">
        <v>145.80000000000001</v>
      </c>
      <c r="AF241">
        <f t="shared" si="29"/>
        <v>1857.6999999999998</v>
      </c>
      <c r="AG241">
        <f t="shared" si="30"/>
        <v>437.69999999999993</v>
      </c>
      <c r="AH241">
        <f t="shared" si="31"/>
        <v>265.29999999999995</v>
      </c>
      <c r="AI241">
        <f t="shared" si="32"/>
        <v>451.99999999999994</v>
      </c>
      <c r="AJ241">
        <f t="shared" si="33"/>
        <v>288.7</v>
      </c>
      <c r="AK241">
        <f t="shared" si="34"/>
        <v>448.5</v>
      </c>
    </row>
    <row r="242" spans="1:37" x14ac:dyDescent="0.25">
      <c r="A242" s="6" t="s">
        <v>30</v>
      </c>
      <c r="B242" s="6">
        <v>2019</v>
      </c>
      <c r="C242" s="6" t="s">
        <v>43</v>
      </c>
      <c r="D242" s="3">
        <v>141</v>
      </c>
      <c r="E242" s="3">
        <v>161.6</v>
      </c>
      <c r="F242" s="3">
        <v>141.19999999999999</v>
      </c>
      <c r="G242" s="3">
        <v>146.5</v>
      </c>
      <c r="H242" s="3">
        <v>125.6</v>
      </c>
      <c r="I242" s="3">
        <v>145.69999999999999</v>
      </c>
      <c r="J242" s="3">
        <v>178.8</v>
      </c>
      <c r="K242" s="3">
        <v>133.1</v>
      </c>
      <c r="L242" s="3">
        <v>113.6</v>
      </c>
      <c r="M242" s="3">
        <v>145.5</v>
      </c>
      <c r="N242" s="3">
        <v>138.6</v>
      </c>
      <c r="O242" s="3">
        <v>157.4</v>
      </c>
      <c r="P242" s="3">
        <v>148.30000000000001</v>
      </c>
      <c r="Q242" s="3">
        <v>166.3</v>
      </c>
      <c r="R242" s="3">
        <v>151.69999999999999</v>
      </c>
      <c r="S242" s="3">
        <v>146.69999999999999</v>
      </c>
      <c r="T242" s="3">
        <v>151</v>
      </c>
      <c r="U242" s="3" t="s">
        <v>32</v>
      </c>
      <c r="V242" s="3">
        <f t="shared" si="28"/>
        <v>153</v>
      </c>
      <c r="W242" s="3">
        <v>147.69999999999999</v>
      </c>
      <c r="X242" s="3">
        <v>150.6</v>
      </c>
      <c r="Y242" s="3">
        <v>153.69999999999999</v>
      </c>
      <c r="Z242" s="3">
        <v>131.69999999999999</v>
      </c>
      <c r="AA242" s="3">
        <v>148.69999999999999</v>
      </c>
      <c r="AB242" s="3">
        <v>160.69999999999999</v>
      </c>
      <c r="AC242" s="3">
        <v>140.30000000000001</v>
      </c>
      <c r="AD242" s="3">
        <v>145.69999999999999</v>
      </c>
      <c r="AE242" s="3">
        <v>148.30000000000001</v>
      </c>
      <c r="AF242">
        <f t="shared" si="29"/>
        <v>1876.8999999999996</v>
      </c>
      <c r="AG242">
        <f t="shared" si="30"/>
        <v>449.4</v>
      </c>
      <c r="AH242">
        <f t="shared" si="31"/>
        <v>279.39999999999998</v>
      </c>
      <c r="AI242">
        <f t="shared" si="32"/>
        <v>464.3</v>
      </c>
      <c r="AJ242">
        <f t="shared" si="33"/>
        <v>294</v>
      </c>
      <c r="AK242">
        <f t="shared" si="34"/>
        <v>460.7</v>
      </c>
    </row>
    <row r="243" spans="1:37" x14ac:dyDescent="0.25">
      <c r="A243" s="6" t="s">
        <v>33</v>
      </c>
      <c r="B243" s="6">
        <v>2019</v>
      </c>
      <c r="C243" s="6" t="s">
        <v>43</v>
      </c>
      <c r="D243" s="3">
        <v>143.5</v>
      </c>
      <c r="E243" s="3">
        <v>159.80000000000001</v>
      </c>
      <c r="F243" s="3">
        <v>144.69999999999999</v>
      </c>
      <c r="G243" s="3">
        <v>145.6</v>
      </c>
      <c r="H243" s="3">
        <v>121.1</v>
      </c>
      <c r="I243" s="3">
        <v>150.6</v>
      </c>
      <c r="J243" s="3">
        <v>207.2</v>
      </c>
      <c r="K243" s="3">
        <v>131.19999999999999</v>
      </c>
      <c r="L243" s="3">
        <v>114.8</v>
      </c>
      <c r="M243" s="3">
        <v>145.19999999999999</v>
      </c>
      <c r="N243" s="3">
        <v>130.19999999999999</v>
      </c>
      <c r="O243" s="3">
        <v>156.80000000000001</v>
      </c>
      <c r="P243" s="3">
        <v>151.9</v>
      </c>
      <c r="Q243" s="3">
        <v>169.3</v>
      </c>
      <c r="R243" s="3">
        <v>145.9</v>
      </c>
      <c r="S243" s="3">
        <v>132.4</v>
      </c>
      <c r="T243" s="3">
        <v>143.9</v>
      </c>
      <c r="U243" s="3">
        <v>153</v>
      </c>
      <c r="V243" s="3">
        <f t="shared" si="28"/>
        <v>153</v>
      </c>
      <c r="W243" s="3">
        <v>128.9</v>
      </c>
      <c r="X243" s="3">
        <v>138.69999999999999</v>
      </c>
      <c r="Y243" s="3">
        <v>142.4</v>
      </c>
      <c r="Z243" s="3">
        <v>121.5</v>
      </c>
      <c r="AA243" s="3">
        <v>136.19999999999999</v>
      </c>
      <c r="AB243" s="3">
        <v>151.69999999999999</v>
      </c>
      <c r="AC243" s="3">
        <v>139.5</v>
      </c>
      <c r="AD243" s="3">
        <v>136</v>
      </c>
      <c r="AE243" s="3">
        <v>146</v>
      </c>
      <c r="AF243">
        <f t="shared" si="29"/>
        <v>1902.6000000000001</v>
      </c>
      <c r="AG243">
        <f t="shared" si="30"/>
        <v>422.20000000000005</v>
      </c>
      <c r="AH243">
        <f t="shared" si="31"/>
        <v>250.4</v>
      </c>
      <c r="AI243">
        <f t="shared" si="32"/>
        <v>443.4</v>
      </c>
      <c r="AJ243">
        <f t="shared" si="33"/>
        <v>281.89999999999998</v>
      </c>
      <c r="AK243">
        <f t="shared" si="34"/>
        <v>441.5</v>
      </c>
    </row>
    <row r="244" spans="1:37" x14ac:dyDescent="0.25">
      <c r="A244" s="6" t="s">
        <v>34</v>
      </c>
      <c r="B244" s="6">
        <v>2019</v>
      </c>
      <c r="C244" s="6" t="s">
        <v>43</v>
      </c>
      <c r="D244" s="3">
        <v>141.80000000000001</v>
      </c>
      <c r="E244" s="3">
        <v>161</v>
      </c>
      <c r="F244" s="3">
        <v>142.6</v>
      </c>
      <c r="G244" s="3">
        <v>146.19999999999999</v>
      </c>
      <c r="H244" s="3">
        <v>123.9</v>
      </c>
      <c r="I244" s="3">
        <v>148</v>
      </c>
      <c r="J244" s="3">
        <v>188.4</v>
      </c>
      <c r="K244" s="3">
        <v>132.5</v>
      </c>
      <c r="L244" s="3">
        <v>114</v>
      </c>
      <c r="M244" s="3">
        <v>145.4</v>
      </c>
      <c r="N244" s="3">
        <v>135.1</v>
      </c>
      <c r="O244" s="3">
        <v>157.1</v>
      </c>
      <c r="P244" s="3">
        <v>149.6</v>
      </c>
      <c r="Q244" s="3">
        <v>167.1</v>
      </c>
      <c r="R244" s="3">
        <v>149.4</v>
      </c>
      <c r="S244" s="3">
        <v>140.80000000000001</v>
      </c>
      <c r="T244" s="3">
        <v>148.19999999999999</v>
      </c>
      <c r="U244" s="3">
        <v>153</v>
      </c>
      <c r="V244" s="3">
        <f t="shared" si="28"/>
        <v>153</v>
      </c>
      <c r="W244" s="3">
        <v>140.6</v>
      </c>
      <c r="X244" s="3">
        <v>145</v>
      </c>
      <c r="Y244" s="3">
        <v>149.4</v>
      </c>
      <c r="Z244" s="3">
        <v>126.3</v>
      </c>
      <c r="AA244" s="3">
        <v>141.69999999999999</v>
      </c>
      <c r="AB244" s="3">
        <v>155.4</v>
      </c>
      <c r="AC244" s="3">
        <v>140</v>
      </c>
      <c r="AD244" s="3">
        <v>141</v>
      </c>
      <c r="AE244" s="3">
        <v>147.19999999999999</v>
      </c>
      <c r="AF244">
        <f t="shared" si="29"/>
        <v>1885.5999999999997</v>
      </c>
      <c r="AG244">
        <f t="shared" si="30"/>
        <v>438.40000000000003</v>
      </c>
      <c r="AH244">
        <f t="shared" si="31"/>
        <v>266.89999999999998</v>
      </c>
      <c r="AI244">
        <f t="shared" si="32"/>
        <v>453.4</v>
      </c>
      <c r="AJ244">
        <f t="shared" si="33"/>
        <v>289.39999999999998</v>
      </c>
      <c r="AK244">
        <f t="shared" si="34"/>
        <v>449.79999999999995</v>
      </c>
    </row>
    <row r="245" spans="1:37" x14ac:dyDescent="0.25">
      <c r="A245" s="6" t="s">
        <v>30</v>
      </c>
      <c r="B245" s="6">
        <v>2019</v>
      </c>
      <c r="C245" s="6" t="s">
        <v>45</v>
      </c>
      <c r="D245" s="3">
        <v>141.80000000000001</v>
      </c>
      <c r="E245" s="3">
        <v>163.69999999999999</v>
      </c>
      <c r="F245" s="3">
        <v>143.80000000000001</v>
      </c>
      <c r="G245" s="3">
        <v>147.1</v>
      </c>
      <c r="H245" s="3">
        <v>126</v>
      </c>
      <c r="I245" s="3">
        <v>146.19999999999999</v>
      </c>
      <c r="J245" s="3">
        <v>191.4</v>
      </c>
      <c r="K245" s="3">
        <v>136.19999999999999</v>
      </c>
      <c r="L245" s="3">
        <v>113.8</v>
      </c>
      <c r="M245" s="3">
        <v>147.30000000000001</v>
      </c>
      <c r="N245" s="3">
        <v>138.69999999999999</v>
      </c>
      <c r="O245" s="3">
        <v>157.69999999999999</v>
      </c>
      <c r="P245" s="3">
        <v>150.9</v>
      </c>
      <c r="Q245" s="3">
        <v>167.2</v>
      </c>
      <c r="R245" s="3">
        <v>152.30000000000001</v>
      </c>
      <c r="S245" s="3">
        <v>147</v>
      </c>
      <c r="T245" s="3">
        <v>151.5</v>
      </c>
      <c r="U245" s="3" t="s">
        <v>32</v>
      </c>
      <c r="V245" s="3">
        <f t="shared" si="28"/>
        <v>153.5</v>
      </c>
      <c r="W245" s="3">
        <v>148.4</v>
      </c>
      <c r="X245" s="3">
        <v>150.9</v>
      </c>
      <c r="Y245" s="3">
        <v>154.30000000000001</v>
      </c>
      <c r="Z245" s="3">
        <v>132.1</v>
      </c>
      <c r="AA245" s="3">
        <v>149.1</v>
      </c>
      <c r="AB245" s="3">
        <v>160.80000000000001</v>
      </c>
      <c r="AC245" s="3">
        <v>140.6</v>
      </c>
      <c r="AD245" s="3">
        <v>146.1</v>
      </c>
      <c r="AE245" s="3">
        <v>149.9</v>
      </c>
      <c r="AF245">
        <f t="shared" si="29"/>
        <v>1904.6000000000001</v>
      </c>
      <c r="AG245">
        <f t="shared" si="30"/>
        <v>450.8</v>
      </c>
      <c r="AH245">
        <f t="shared" si="31"/>
        <v>280.5</v>
      </c>
      <c r="AI245">
        <f t="shared" si="32"/>
        <v>465.2</v>
      </c>
      <c r="AJ245">
        <f t="shared" si="33"/>
        <v>294.89999999999998</v>
      </c>
      <c r="AK245">
        <f t="shared" si="34"/>
        <v>462.4</v>
      </c>
    </row>
    <row r="246" spans="1:37" x14ac:dyDescent="0.25">
      <c r="A246" s="6" t="s">
        <v>33</v>
      </c>
      <c r="B246" s="6">
        <v>2019</v>
      </c>
      <c r="C246" s="6" t="s">
        <v>45</v>
      </c>
      <c r="D246" s="3">
        <v>144.1</v>
      </c>
      <c r="E246" s="3">
        <v>162.4</v>
      </c>
      <c r="F246" s="3">
        <v>148.4</v>
      </c>
      <c r="G246" s="3">
        <v>145.9</v>
      </c>
      <c r="H246" s="3">
        <v>121.5</v>
      </c>
      <c r="I246" s="3">
        <v>148.80000000000001</v>
      </c>
      <c r="J246" s="3">
        <v>215.7</v>
      </c>
      <c r="K246" s="3">
        <v>134.6</v>
      </c>
      <c r="L246" s="3">
        <v>115</v>
      </c>
      <c r="M246" s="3">
        <v>146.30000000000001</v>
      </c>
      <c r="N246" s="3">
        <v>130.5</v>
      </c>
      <c r="O246" s="3">
        <v>157.19999999999999</v>
      </c>
      <c r="P246" s="3">
        <v>153.6</v>
      </c>
      <c r="Q246" s="3">
        <v>169.9</v>
      </c>
      <c r="R246" s="3">
        <v>146.30000000000001</v>
      </c>
      <c r="S246" s="3">
        <v>132.6</v>
      </c>
      <c r="T246" s="3">
        <v>144.19999999999999</v>
      </c>
      <c r="U246" s="3">
        <v>153.5</v>
      </c>
      <c r="V246" s="3">
        <f t="shared" si="28"/>
        <v>153.5</v>
      </c>
      <c r="W246" s="3">
        <v>132.19999999999999</v>
      </c>
      <c r="X246" s="3">
        <v>139.1</v>
      </c>
      <c r="Y246" s="3">
        <v>142.80000000000001</v>
      </c>
      <c r="Z246" s="3">
        <v>121.7</v>
      </c>
      <c r="AA246" s="3">
        <v>136.69999999999999</v>
      </c>
      <c r="AB246" s="3">
        <v>151.80000000000001</v>
      </c>
      <c r="AC246" s="3">
        <v>139.80000000000001</v>
      </c>
      <c r="AD246" s="3">
        <v>136.30000000000001</v>
      </c>
      <c r="AE246" s="3">
        <v>147</v>
      </c>
      <c r="AF246">
        <f t="shared" si="29"/>
        <v>1923.9999999999998</v>
      </c>
      <c r="AG246">
        <f t="shared" si="30"/>
        <v>423.09999999999997</v>
      </c>
      <c r="AH246">
        <f t="shared" si="31"/>
        <v>253.89999999999998</v>
      </c>
      <c r="AI246">
        <f t="shared" si="32"/>
        <v>444.40000000000003</v>
      </c>
      <c r="AJ246">
        <f t="shared" si="33"/>
        <v>282.60000000000002</v>
      </c>
      <c r="AK246">
        <f t="shared" si="34"/>
        <v>442.90000000000003</v>
      </c>
    </row>
    <row r="247" spans="1:37" x14ac:dyDescent="0.25">
      <c r="A247" s="6" t="s">
        <v>34</v>
      </c>
      <c r="B247" s="6">
        <v>2019</v>
      </c>
      <c r="C247" s="6" t="s">
        <v>45</v>
      </c>
      <c r="D247" s="3">
        <v>142.5</v>
      </c>
      <c r="E247" s="3">
        <v>163.19999999999999</v>
      </c>
      <c r="F247" s="3">
        <v>145.6</v>
      </c>
      <c r="G247" s="3">
        <v>146.69999999999999</v>
      </c>
      <c r="H247" s="3">
        <v>124.3</v>
      </c>
      <c r="I247" s="3">
        <v>147.4</v>
      </c>
      <c r="J247" s="3">
        <v>199.6</v>
      </c>
      <c r="K247" s="3">
        <v>135.69999999999999</v>
      </c>
      <c r="L247" s="3">
        <v>114.2</v>
      </c>
      <c r="M247" s="3">
        <v>147</v>
      </c>
      <c r="N247" s="3">
        <v>135.30000000000001</v>
      </c>
      <c r="O247" s="3">
        <v>157.5</v>
      </c>
      <c r="P247" s="3">
        <v>151.9</v>
      </c>
      <c r="Q247" s="3">
        <v>167.9</v>
      </c>
      <c r="R247" s="3">
        <v>149.9</v>
      </c>
      <c r="S247" s="3">
        <v>141</v>
      </c>
      <c r="T247" s="3">
        <v>148.6</v>
      </c>
      <c r="U247" s="3">
        <v>153.5</v>
      </c>
      <c r="V247" s="3">
        <f t="shared" si="28"/>
        <v>153.5</v>
      </c>
      <c r="W247" s="3">
        <v>142.30000000000001</v>
      </c>
      <c r="X247" s="3">
        <v>145.30000000000001</v>
      </c>
      <c r="Y247" s="3">
        <v>149.9</v>
      </c>
      <c r="Z247" s="3">
        <v>126.6</v>
      </c>
      <c r="AA247" s="3">
        <v>142.1</v>
      </c>
      <c r="AB247" s="3">
        <v>155.5</v>
      </c>
      <c r="AC247" s="3">
        <v>140.30000000000001</v>
      </c>
      <c r="AD247" s="3">
        <v>141.30000000000001</v>
      </c>
      <c r="AE247" s="3">
        <v>148.6</v>
      </c>
      <c r="AF247">
        <f t="shared" si="29"/>
        <v>1910.9</v>
      </c>
      <c r="AG247">
        <f t="shared" si="30"/>
        <v>439.5</v>
      </c>
      <c r="AH247">
        <f t="shared" si="31"/>
        <v>268.89999999999998</v>
      </c>
      <c r="AI247">
        <f t="shared" si="32"/>
        <v>454.3</v>
      </c>
      <c r="AJ247">
        <f t="shared" si="33"/>
        <v>290.20000000000005</v>
      </c>
      <c r="AK247">
        <f t="shared" si="34"/>
        <v>451.3</v>
      </c>
    </row>
    <row r="248" spans="1:37" x14ac:dyDescent="0.25">
      <c r="A248" s="6" t="s">
        <v>30</v>
      </c>
      <c r="B248" s="6">
        <v>2019</v>
      </c>
      <c r="C248" s="6" t="s">
        <v>46</v>
      </c>
      <c r="D248" s="3">
        <v>142.80000000000001</v>
      </c>
      <c r="E248" s="3">
        <v>165.3</v>
      </c>
      <c r="F248" s="3">
        <v>149.5</v>
      </c>
      <c r="G248" s="3">
        <v>148.69999999999999</v>
      </c>
      <c r="H248" s="3">
        <v>127.5</v>
      </c>
      <c r="I248" s="3">
        <v>144.30000000000001</v>
      </c>
      <c r="J248" s="3">
        <v>209.5</v>
      </c>
      <c r="K248" s="3">
        <v>138.80000000000001</v>
      </c>
      <c r="L248" s="3">
        <v>113.6</v>
      </c>
      <c r="M248" s="3">
        <v>149.1</v>
      </c>
      <c r="N248" s="3">
        <v>139.30000000000001</v>
      </c>
      <c r="O248" s="3">
        <v>158.30000000000001</v>
      </c>
      <c r="P248" s="3">
        <v>154.30000000000001</v>
      </c>
      <c r="Q248" s="3">
        <v>167.8</v>
      </c>
      <c r="R248" s="3">
        <v>152.6</v>
      </c>
      <c r="S248" s="3">
        <v>147.30000000000001</v>
      </c>
      <c r="T248" s="3">
        <v>151.9</v>
      </c>
      <c r="U248" s="3" t="s">
        <v>32</v>
      </c>
      <c r="V248" s="3">
        <f t="shared" si="28"/>
        <v>152.80000000000001</v>
      </c>
      <c r="W248" s="3">
        <v>149.9</v>
      </c>
      <c r="X248" s="3">
        <v>151.19999999999999</v>
      </c>
      <c r="Y248" s="3">
        <v>154.80000000000001</v>
      </c>
      <c r="Z248" s="3">
        <v>135</v>
      </c>
      <c r="AA248" s="3">
        <v>149.5</v>
      </c>
      <c r="AB248" s="3">
        <v>161.1</v>
      </c>
      <c r="AC248" s="3">
        <v>140.6</v>
      </c>
      <c r="AD248" s="3">
        <v>147.1</v>
      </c>
      <c r="AE248" s="3">
        <v>152.30000000000001</v>
      </c>
      <c r="AF248">
        <f t="shared" si="29"/>
        <v>1940.9999999999995</v>
      </c>
      <c r="AG248">
        <f t="shared" si="30"/>
        <v>451.79999999999995</v>
      </c>
      <c r="AH248">
        <f t="shared" si="31"/>
        <v>284.89999999999998</v>
      </c>
      <c r="AI248">
        <f t="shared" si="32"/>
        <v>465.1</v>
      </c>
      <c r="AJ248">
        <f t="shared" si="33"/>
        <v>295.39999999999998</v>
      </c>
      <c r="AK248">
        <f t="shared" si="34"/>
        <v>464.4</v>
      </c>
    </row>
    <row r="249" spans="1:37" x14ac:dyDescent="0.25">
      <c r="A249" s="6" t="s">
        <v>33</v>
      </c>
      <c r="B249" s="6">
        <v>2019</v>
      </c>
      <c r="C249" s="6" t="s">
        <v>46</v>
      </c>
      <c r="D249" s="3">
        <v>144.9</v>
      </c>
      <c r="E249" s="3">
        <v>164.5</v>
      </c>
      <c r="F249" s="3">
        <v>153.69999999999999</v>
      </c>
      <c r="G249" s="3">
        <v>147.5</v>
      </c>
      <c r="H249" s="3">
        <v>122.7</v>
      </c>
      <c r="I249" s="3">
        <v>147.19999999999999</v>
      </c>
      <c r="J249" s="3">
        <v>231.5</v>
      </c>
      <c r="K249" s="3">
        <v>137.19999999999999</v>
      </c>
      <c r="L249" s="3">
        <v>114.7</v>
      </c>
      <c r="M249" s="3">
        <v>148</v>
      </c>
      <c r="N249" s="3">
        <v>130.80000000000001</v>
      </c>
      <c r="O249" s="3">
        <v>157.69999999999999</v>
      </c>
      <c r="P249" s="3">
        <v>156.30000000000001</v>
      </c>
      <c r="Q249" s="3">
        <v>170.4</v>
      </c>
      <c r="R249" s="3">
        <v>146.80000000000001</v>
      </c>
      <c r="S249" s="3">
        <v>132.80000000000001</v>
      </c>
      <c r="T249" s="3">
        <v>144.6</v>
      </c>
      <c r="U249" s="3">
        <v>152.80000000000001</v>
      </c>
      <c r="V249" s="3">
        <f t="shared" si="28"/>
        <v>152.80000000000001</v>
      </c>
      <c r="W249" s="3">
        <v>133.6</v>
      </c>
      <c r="X249" s="3">
        <v>139.80000000000001</v>
      </c>
      <c r="Y249" s="3">
        <v>143.19999999999999</v>
      </c>
      <c r="Z249" s="3">
        <v>125.2</v>
      </c>
      <c r="AA249" s="3">
        <v>136.80000000000001</v>
      </c>
      <c r="AB249" s="3">
        <v>151.9</v>
      </c>
      <c r="AC249" s="3">
        <v>140.19999999999999</v>
      </c>
      <c r="AD249" s="3">
        <v>137.69999999999999</v>
      </c>
      <c r="AE249" s="3">
        <v>148.30000000000001</v>
      </c>
      <c r="AF249">
        <f t="shared" si="29"/>
        <v>1956.7</v>
      </c>
      <c r="AG249">
        <f t="shared" si="30"/>
        <v>424.20000000000005</v>
      </c>
      <c r="AH249">
        <f t="shared" si="31"/>
        <v>258.8</v>
      </c>
      <c r="AI249">
        <f t="shared" si="32"/>
        <v>444.5</v>
      </c>
      <c r="AJ249">
        <f t="shared" si="33"/>
        <v>283.39999999999998</v>
      </c>
      <c r="AK249">
        <f t="shared" si="34"/>
        <v>444.90000000000003</v>
      </c>
    </row>
    <row r="250" spans="1:37" x14ac:dyDescent="0.25">
      <c r="A250" s="6" t="s">
        <v>34</v>
      </c>
      <c r="B250" s="6">
        <v>2019</v>
      </c>
      <c r="C250" s="6" t="s">
        <v>46</v>
      </c>
      <c r="D250" s="3">
        <v>143.5</v>
      </c>
      <c r="E250" s="3">
        <v>165</v>
      </c>
      <c r="F250" s="3">
        <v>151.1</v>
      </c>
      <c r="G250" s="3">
        <v>148.30000000000001</v>
      </c>
      <c r="H250" s="3">
        <v>125.7</v>
      </c>
      <c r="I250" s="3">
        <v>145.69999999999999</v>
      </c>
      <c r="J250" s="3">
        <v>217</v>
      </c>
      <c r="K250" s="3">
        <v>138.30000000000001</v>
      </c>
      <c r="L250" s="3">
        <v>114</v>
      </c>
      <c r="M250" s="3">
        <v>148.69999999999999</v>
      </c>
      <c r="N250" s="3">
        <v>135.80000000000001</v>
      </c>
      <c r="O250" s="3">
        <v>158</v>
      </c>
      <c r="P250" s="3">
        <v>155</v>
      </c>
      <c r="Q250" s="3">
        <v>168.5</v>
      </c>
      <c r="R250" s="3">
        <v>150.30000000000001</v>
      </c>
      <c r="S250" s="3">
        <v>141.30000000000001</v>
      </c>
      <c r="T250" s="3">
        <v>149</v>
      </c>
      <c r="U250" s="3">
        <v>152.80000000000001</v>
      </c>
      <c r="V250" s="3">
        <f t="shared" si="28"/>
        <v>152.80000000000001</v>
      </c>
      <c r="W250" s="3">
        <v>143.69999999999999</v>
      </c>
      <c r="X250" s="3">
        <v>145.80000000000001</v>
      </c>
      <c r="Y250" s="3">
        <v>150.4</v>
      </c>
      <c r="Z250" s="3">
        <v>129.80000000000001</v>
      </c>
      <c r="AA250" s="3">
        <v>142.30000000000001</v>
      </c>
      <c r="AB250" s="3">
        <v>155.69999999999999</v>
      </c>
      <c r="AC250" s="3">
        <v>140.4</v>
      </c>
      <c r="AD250" s="3">
        <v>142.5</v>
      </c>
      <c r="AE250" s="3">
        <v>150.4</v>
      </c>
      <c r="AF250">
        <f t="shared" si="29"/>
        <v>1946.1000000000001</v>
      </c>
      <c r="AG250">
        <f t="shared" si="30"/>
        <v>440.6</v>
      </c>
      <c r="AH250">
        <f t="shared" si="31"/>
        <v>273.5</v>
      </c>
      <c r="AI250">
        <f t="shared" si="32"/>
        <v>454.3</v>
      </c>
      <c r="AJ250">
        <f t="shared" si="33"/>
        <v>290.8</v>
      </c>
      <c r="AK250">
        <f t="shared" si="34"/>
        <v>453.3</v>
      </c>
    </row>
    <row r="251" spans="1:37" x14ac:dyDescent="0.25">
      <c r="A251" s="6" t="s">
        <v>30</v>
      </c>
      <c r="B251" s="6">
        <v>2020</v>
      </c>
      <c r="C251" s="6" t="s">
        <v>31</v>
      </c>
      <c r="D251" s="3">
        <v>143.69999999999999</v>
      </c>
      <c r="E251" s="3">
        <v>167.3</v>
      </c>
      <c r="F251" s="3">
        <v>153.5</v>
      </c>
      <c r="G251" s="3">
        <v>150.5</v>
      </c>
      <c r="H251" s="3">
        <v>132</v>
      </c>
      <c r="I251" s="3">
        <v>142.19999999999999</v>
      </c>
      <c r="J251" s="3">
        <v>191.5</v>
      </c>
      <c r="K251" s="3">
        <v>141.1</v>
      </c>
      <c r="L251" s="3">
        <v>113.8</v>
      </c>
      <c r="M251" s="3">
        <v>151.6</v>
      </c>
      <c r="N251" s="3">
        <v>139.69999999999999</v>
      </c>
      <c r="O251" s="3">
        <v>158.69999999999999</v>
      </c>
      <c r="P251" s="3">
        <v>153</v>
      </c>
      <c r="Q251" s="3">
        <v>168.6</v>
      </c>
      <c r="R251" s="3">
        <v>152.80000000000001</v>
      </c>
      <c r="S251" s="3">
        <v>147.4</v>
      </c>
      <c r="T251" s="3">
        <v>152.1</v>
      </c>
      <c r="U251" s="3" t="s">
        <v>32</v>
      </c>
      <c r="V251" s="3">
        <f t="shared" si="28"/>
        <v>153.9</v>
      </c>
      <c r="W251" s="3">
        <v>150.4</v>
      </c>
      <c r="X251" s="3">
        <v>151.69999999999999</v>
      </c>
      <c r="Y251" s="3">
        <v>155.69999999999999</v>
      </c>
      <c r="Z251" s="3">
        <v>136.30000000000001</v>
      </c>
      <c r="AA251" s="3">
        <v>150.1</v>
      </c>
      <c r="AB251" s="3">
        <v>161.69999999999999</v>
      </c>
      <c r="AC251" s="3">
        <v>142.5</v>
      </c>
      <c r="AD251" s="3">
        <v>148.1</v>
      </c>
      <c r="AE251" s="3">
        <v>151.9</v>
      </c>
      <c r="AF251">
        <f t="shared" si="29"/>
        <v>1938.6</v>
      </c>
      <c r="AG251">
        <f t="shared" si="30"/>
        <v>452.30000000000007</v>
      </c>
      <c r="AH251">
        <f t="shared" si="31"/>
        <v>286.70000000000005</v>
      </c>
      <c r="AI251">
        <f t="shared" si="32"/>
        <v>467.3</v>
      </c>
      <c r="AJ251">
        <f t="shared" si="33"/>
        <v>298.2</v>
      </c>
      <c r="AK251">
        <f t="shared" si="34"/>
        <v>466.79999999999995</v>
      </c>
    </row>
    <row r="252" spans="1:37" x14ac:dyDescent="0.25">
      <c r="A252" s="6" t="s">
        <v>33</v>
      </c>
      <c r="B252" s="6">
        <v>2020</v>
      </c>
      <c r="C252" s="6" t="s">
        <v>31</v>
      </c>
      <c r="D252" s="3">
        <v>145.6</v>
      </c>
      <c r="E252" s="3">
        <v>167.6</v>
      </c>
      <c r="F252" s="3">
        <v>157</v>
      </c>
      <c r="G252" s="3">
        <v>149.30000000000001</v>
      </c>
      <c r="H252" s="3">
        <v>126.3</v>
      </c>
      <c r="I252" s="3">
        <v>144.4</v>
      </c>
      <c r="J252" s="3">
        <v>207.8</v>
      </c>
      <c r="K252" s="3">
        <v>139.1</v>
      </c>
      <c r="L252" s="3">
        <v>114.8</v>
      </c>
      <c r="M252" s="3">
        <v>149.5</v>
      </c>
      <c r="N252" s="3">
        <v>131.1</v>
      </c>
      <c r="O252" s="3">
        <v>158.5</v>
      </c>
      <c r="P252" s="3">
        <v>154.4</v>
      </c>
      <c r="Q252" s="3">
        <v>170.8</v>
      </c>
      <c r="R252" s="3">
        <v>147</v>
      </c>
      <c r="S252" s="3">
        <v>133.19999999999999</v>
      </c>
      <c r="T252" s="3">
        <v>144.9</v>
      </c>
      <c r="U252" s="3">
        <v>153.9</v>
      </c>
      <c r="V252" s="3">
        <f t="shared" si="28"/>
        <v>153.9</v>
      </c>
      <c r="W252" s="3">
        <v>135.1</v>
      </c>
      <c r="X252" s="3">
        <v>140.1</v>
      </c>
      <c r="Y252" s="3">
        <v>143.80000000000001</v>
      </c>
      <c r="Z252" s="3">
        <v>126.1</v>
      </c>
      <c r="AA252" s="3">
        <v>137.19999999999999</v>
      </c>
      <c r="AB252" s="3">
        <v>152.1</v>
      </c>
      <c r="AC252" s="3">
        <v>142.1</v>
      </c>
      <c r="AD252" s="3">
        <v>138.4</v>
      </c>
      <c r="AE252" s="3">
        <v>148.19999999999999</v>
      </c>
      <c r="AF252">
        <f t="shared" si="29"/>
        <v>1945.3999999999999</v>
      </c>
      <c r="AG252">
        <f t="shared" si="30"/>
        <v>425.1</v>
      </c>
      <c r="AH252">
        <f t="shared" si="31"/>
        <v>261.2</v>
      </c>
      <c r="AI252">
        <f t="shared" si="32"/>
        <v>446.1</v>
      </c>
      <c r="AJ252">
        <f t="shared" si="33"/>
        <v>285.89999999999998</v>
      </c>
      <c r="AK252">
        <f t="shared" si="34"/>
        <v>446.4</v>
      </c>
    </row>
    <row r="253" spans="1:37" x14ac:dyDescent="0.25">
      <c r="A253" s="6" t="s">
        <v>34</v>
      </c>
      <c r="B253" s="6">
        <v>2020</v>
      </c>
      <c r="C253" s="6" t="s">
        <v>31</v>
      </c>
      <c r="D253" s="3">
        <v>144.30000000000001</v>
      </c>
      <c r="E253" s="3">
        <v>167.4</v>
      </c>
      <c r="F253" s="3">
        <v>154.9</v>
      </c>
      <c r="G253" s="3">
        <v>150.1</v>
      </c>
      <c r="H253" s="3">
        <v>129.9</v>
      </c>
      <c r="I253" s="3">
        <v>143.19999999999999</v>
      </c>
      <c r="J253" s="3">
        <v>197</v>
      </c>
      <c r="K253" s="3">
        <v>140.4</v>
      </c>
      <c r="L253" s="3">
        <v>114.1</v>
      </c>
      <c r="M253" s="3">
        <v>150.9</v>
      </c>
      <c r="N253" s="3">
        <v>136.1</v>
      </c>
      <c r="O253" s="3">
        <v>158.6</v>
      </c>
      <c r="P253" s="3">
        <v>153.5</v>
      </c>
      <c r="Q253" s="3">
        <v>169.2</v>
      </c>
      <c r="R253" s="3">
        <v>150.5</v>
      </c>
      <c r="S253" s="3">
        <v>141.5</v>
      </c>
      <c r="T253" s="3">
        <v>149.19999999999999</v>
      </c>
      <c r="U253" s="3">
        <v>153.9</v>
      </c>
      <c r="V253" s="3">
        <f t="shared" si="28"/>
        <v>153.9</v>
      </c>
      <c r="W253" s="3">
        <v>144.6</v>
      </c>
      <c r="X253" s="3">
        <v>146.19999999999999</v>
      </c>
      <c r="Y253" s="3">
        <v>151.19999999999999</v>
      </c>
      <c r="Z253" s="3">
        <v>130.9</v>
      </c>
      <c r="AA253" s="3">
        <v>142.80000000000001</v>
      </c>
      <c r="AB253" s="3">
        <v>156.1</v>
      </c>
      <c r="AC253" s="3">
        <v>142.30000000000001</v>
      </c>
      <c r="AD253" s="3">
        <v>143.4</v>
      </c>
      <c r="AE253" s="3">
        <v>150.19999999999999</v>
      </c>
      <c r="AF253">
        <f t="shared" si="29"/>
        <v>1940.3999999999999</v>
      </c>
      <c r="AG253">
        <f t="shared" si="30"/>
        <v>441.2</v>
      </c>
      <c r="AH253">
        <f t="shared" si="31"/>
        <v>275.5</v>
      </c>
      <c r="AI253">
        <f t="shared" si="32"/>
        <v>456.20000000000005</v>
      </c>
      <c r="AJ253">
        <f t="shared" si="33"/>
        <v>293.5</v>
      </c>
      <c r="AK253">
        <f t="shared" si="34"/>
        <v>455.4</v>
      </c>
    </row>
    <row r="254" spans="1:37" x14ac:dyDescent="0.25">
      <c r="A254" s="6" t="s">
        <v>30</v>
      </c>
      <c r="B254" s="6">
        <v>2020</v>
      </c>
      <c r="C254" s="6" t="s">
        <v>35</v>
      </c>
      <c r="D254" s="3">
        <v>144.19999999999999</v>
      </c>
      <c r="E254" s="3">
        <v>167.5</v>
      </c>
      <c r="F254" s="3">
        <v>150.9</v>
      </c>
      <c r="G254" s="3">
        <v>150.9</v>
      </c>
      <c r="H254" s="3">
        <v>133.69999999999999</v>
      </c>
      <c r="I254" s="3">
        <v>140.69999999999999</v>
      </c>
      <c r="J254" s="3">
        <v>165.1</v>
      </c>
      <c r="K254" s="3">
        <v>141.80000000000001</v>
      </c>
      <c r="L254" s="3">
        <v>113.1</v>
      </c>
      <c r="M254" s="3">
        <v>152.80000000000001</v>
      </c>
      <c r="N254" s="3">
        <v>140.1</v>
      </c>
      <c r="O254" s="3">
        <v>159.19999999999999</v>
      </c>
      <c r="P254" s="3">
        <v>149.80000000000001</v>
      </c>
      <c r="Q254" s="3">
        <v>169.4</v>
      </c>
      <c r="R254" s="3">
        <v>153</v>
      </c>
      <c r="S254" s="3">
        <v>147.5</v>
      </c>
      <c r="T254" s="3">
        <v>152.30000000000001</v>
      </c>
      <c r="U254" s="3" t="s">
        <v>32</v>
      </c>
      <c r="V254" s="3">
        <f t="shared" si="28"/>
        <v>154.80000000000001</v>
      </c>
      <c r="W254" s="3">
        <v>152.30000000000001</v>
      </c>
      <c r="X254" s="3">
        <v>151.80000000000001</v>
      </c>
      <c r="Y254" s="3">
        <v>156.19999999999999</v>
      </c>
      <c r="Z254" s="3">
        <v>136</v>
      </c>
      <c r="AA254" s="3">
        <v>150.4</v>
      </c>
      <c r="AB254" s="3">
        <v>161.9</v>
      </c>
      <c r="AC254" s="3">
        <v>143.4</v>
      </c>
      <c r="AD254" s="3">
        <v>148.4</v>
      </c>
      <c r="AE254" s="3">
        <v>150.4</v>
      </c>
      <c r="AF254">
        <f t="shared" si="29"/>
        <v>1909.7999999999997</v>
      </c>
      <c r="AG254">
        <f t="shared" si="30"/>
        <v>452.8</v>
      </c>
      <c r="AH254">
        <f t="shared" si="31"/>
        <v>288.3</v>
      </c>
      <c r="AI254">
        <f t="shared" si="32"/>
        <v>468.5</v>
      </c>
      <c r="AJ254">
        <f t="shared" si="33"/>
        <v>299.60000000000002</v>
      </c>
      <c r="AK254">
        <f t="shared" si="34"/>
        <v>468.20000000000005</v>
      </c>
    </row>
    <row r="255" spans="1:37" x14ac:dyDescent="0.25">
      <c r="A255" s="6" t="s">
        <v>33</v>
      </c>
      <c r="B255" s="6">
        <v>2020</v>
      </c>
      <c r="C255" s="6" t="s">
        <v>35</v>
      </c>
      <c r="D255" s="3">
        <v>146.19999999999999</v>
      </c>
      <c r="E255" s="3">
        <v>167.6</v>
      </c>
      <c r="F255" s="3">
        <v>153.1</v>
      </c>
      <c r="G255" s="3">
        <v>150.69999999999999</v>
      </c>
      <c r="H255" s="3">
        <v>127.4</v>
      </c>
      <c r="I255" s="3">
        <v>143.1</v>
      </c>
      <c r="J255" s="3">
        <v>181.7</v>
      </c>
      <c r="K255" s="3">
        <v>139.6</v>
      </c>
      <c r="L255" s="3">
        <v>114.6</v>
      </c>
      <c r="M255" s="3">
        <v>150.4</v>
      </c>
      <c r="N255" s="3">
        <v>131.5</v>
      </c>
      <c r="O255" s="3">
        <v>159</v>
      </c>
      <c r="P255" s="3">
        <v>151.69999999999999</v>
      </c>
      <c r="Q255" s="3">
        <v>172</v>
      </c>
      <c r="R255" s="3">
        <v>147.30000000000001</v>
      </c>
      <c r="S255" s="3">
        <v>133.5</v>
      </c>
      <c r="T255" s="3">
        <v>145.19999999999999</v>
      </c>
      <c r="U255" s="3">
        <v>154.80000000000001</v>
      </c>
      <c r="V255" s="3">
        <f t="shared" si="28"/>
        <v>154.80000000000001</v>
      </c>
      <c r="W255" s="3">
        <v>138.9</v>
      </c>
      <c r="X255" s="3">
        <v>140.4</v>
      </c>
      <c r="Y255" s="3">
        <v>144.4</v>
      </c>
      <c r="Z255" s="3">
        <v>125.2</v>
      </c>
      <c r="AA255" s="3">
        <v>137.69999999999999</v>
      </c>
      <c r="AB255" s="3">
        <v>152.19999999999999</v>
      </c>
      <c r="AC255" s="3">
        <v>143.5</v>
      </c>
      <c r="AD255" s="3">
        <v>138.4</v>
      </c>
      <c r="AE255" s="3">
        <v>147.69999999999999</v>
      </c>
      <c r="AF255">
        <f t="shared" si="29"/>
        <v>1916.6</v>
      </c>
      <c r="AG255">
        <f t="shared" si="30"/>
        <v>426</v>
      </c>
      <c r="AH255">
        <f t="shared" si="31"/>
        <v>264.10000000000002</v>
      </c>
      <c r="AI255">
        <f t="shared" si="32"/>
        <v>447.40000000000003</v>
      </c>
      <c r="AJ255">
        <f t="shared" si="33"/>
        <v>287.89999999999998</v>
      </c>
      <c r="AK255">
        <f t="shared" si="34"/>
        <v>448.1</v>
      </c>
    </row>
    <row r="256" spans="1:37" x14ac:dyDescent="0.25">
      <c r="A256" s="6" t="s">
        <v>34</v>
      </c>
      <c r="B256" s="6">
        <v>2020</v>
      </c>
      <c r="C256" s="6" t="s">
        <v>35</v>
      </c>
      <c r="D256" s="3">
        <v>144.80000000000001</v>
      </c>
      <c r="E256" s="3">
        <v>167.5</v>
      </c>
      <c r="F256" s="3">
        <v>151.80000000000001</v>
      </c>
      <c r="G256" s="3">
        <v>150.80000000000001</v>
      </c>
      <c r="H256" s="3">
        <v>131.4</v>
      </c>
      <c r="I256" s="3">
        <v>141.80000000000001</v>
      </c>
      <c r="J256" s="3">
        <v>170.7</v>
      </c>
      <c r="K256" s="3">
        <v>141.1</v>
      </c>
      <c r="L256" s="3">
        <v>113.6</v>
      </c>
      <c r="M256" s="3">
        <v>152</v>
      </c>
      <c r="N256" s="3">
        <v>136.5</v>
      </c>
      <c r="O256" s="3">
        <v>159.1</v>
      </c>
      <c r="P256" s="3">
        <v>150.5</v>
      </c>
      <c r="Q256" s="3">
        <v>170.1</v>
      </c>
      <c r="R256" s="3">
        <v>150.80000000000001</v>
      </c>
      <c r="S256" s="3">
        <v>141.69999999999999</v>
      </c>
      <c r="T256" s="3">
        <v>149.5</v>
      </c>
      <c r="U256" s="3">
        <v>154.80000000000001</v>
      </c>
      <c r="V256" s="3">
        <f t="shared" si="28"/>
        <v>154.80000000000001</v>
      </c>
      <c r="W256" s="3">
        <v>147.19999999999999</v>
      </c>
      <c r="X256" s="3">
        <v>146.4</v>
      </c>
      <c r="Y256" s="3">
        <v>151.69999999999999</v>
      </c>
      <c r="Z256" s="3">
        <v>130.30000000000001</v>
      </c>
      <c r="AA256" s="3">
        <v>143.19999999999999</v>
      </c>
      <c r="AB256" s="3">
        <v>156.19999999999999</v>
      </c>
      <c r="AC256" s="3">
        <v>143.4</v>
      </c>
      <c r="AD256" s="3">
        <v>143.6</v>
      </c>
      <c r="AE256" s="3">
        <v>149.1</v>
      </c>
      <c r="AF256">
        <f t="shared" si="29"/>
        <v>1911.6</v>
      </c>
      <c r="AG256">
        <f t="shared" si="30"/>
        <v>442</v>
      </c>
      <c r="AH256">
        <f t="shared" si="31"/>
        <v>277.5</v>
      </c>
      <c r="AI256">
        <f t="shared" si="32"/>
        <v>457.40000000000003</v>
      </c>
      <c r="AJ256">
        <f t="shared" si="33"/>
        <v>295.10000000000002</v>
      </c>
      <c r="AK256">
        <f t="shared" si="34"/>
        <v>456.9</v>
      </c>
    </row>
    <row r="257" spans="1:37" x14ac:dyDescent="0.25">
      <c r="A257" s="6" t="s">
        <v>30</v>
      </c>
      <c r="B257" s="6">
        <v>2020</v>
      </c>
      <c r="C257" s="6" t="s">
        <v>36</v>
      </c>
      <c r="D257" s="3">
        <v>144.4</v>
      </c>
      <c r="E257" s="3">
        <v>166.8</v>
      </c>
      <c r="F257" s="3">
        <v>147.6</v>
      </c>
      <c r="G257" s="3">
        <v>151.69999999999999</v>
      </c>
      <c r="H257" s="3">
        <v>133.30000000000001</v>
      </c>
      <c r="I257" s="3">
        <v>141.80000000000001</v>
      </c>
      <c r="J257" s="3">
        <v>152.30000000000001</v>
      </c>
      <c r="K257" s="3">
        <v>141.80000000000001</v>
      </c>
      <c r="L257" s="3">
        <v>112.6</v>
      </c>
      <c r="M257" s="3">
        <v>154</v>
      </c>
      <c r="N257" s="3">
        <v>140.1</v>
      </c>
      <c r="O257" s="3">
        <v>160</v>
      </c>
      <c r="P257" s="3">
        <v>148.19999999999999</v>
      </c>
      <c r="Q257" s="3">
        <v>170.5</v>
      </c>
      <c r="R257" s="3">
        <v>153.4</v>
      </c>
      <c r="S257" s="3">
        <v>147.6</v>
      </c>
      <c r="T257" s="3">
        <v>152.5</v>
      </c>
      <c r="U257" s="3" t="s">
        <v>32</v>
      </c>
      <c r="V257" s="3">
        <f t="shared" si="28"/>
        <v>154.5</v>
      </c>
      <c r="W257" s="3">
        <v>153.4</v>
      </c>
      <c r="X257" s="3">
        <v>151.5</v>
      </c>
      <c r="Y257" s="3">
        <v>156.69999999999999</v>
      </c>
      <c r="Z257" s="3">
        <v>135.80000000000001</v>
      </c>
      <c r="AA257" s="3">
        <v>151.19999999999999</v>
      </c>
      <c r="AB257" s="3">
        <v>161.19999999999999</v>
      </c>
      <c r="AC257" s="3">
        <v>145.1</v>
      </c>
      <c r="AD257" s="3">
        <v>148.6</v>
      </c>
      <c r="AE257" s="3">
        <v>149.80000000000001</v>
      </c>
      <c r="AF257">
        <f t="shared" si="29"/>
        <v>1894.5999999999997</v>
      </c>
      <c r="AG257">
        <f t="shared" si="30"/>
        <v>453.5</v>
      </c>
      <c r="AH257">
        <f t="shared" si="31"/>
        <v>289.20000000000005</v>
      </c>
      <c r="AI257">
        <f t="shared" si="32"/>
        <v>467.2</v>
      </c>
      <c r="AJ257">
        <f t="shared" si="33"/>
        <v>301.79999999999995</v>
      </c>
      <c r="AK257">
        <f t="shared" si="34"/>
        <v>470.29999999999995</v>
      </c>
    </row>
    <row r="258" spans="1:37" x14ac:dyDescent="0.25">
      <c r="A258" s="6" t="s">
        <v>33</v>
      </c>
      <c r="B258" s="6">
        <v>2020</v>
      </c>
      <c r="C258" s="6" t="s">
        <v>36</v>
      </c>
      <c r="D258" s="3">
        <v>146.5</v>
      </c>
      <c r="E258" s="3">
        <v>167.5</v>
      </c>
      <c r="F258" s="3">
        <v>148.9</v>
      </c>
      <c r="G258" s="3">
        <v>151.1</v>
      </c>
      <c r="H258" s="3">
        <v>127.5</v>
      </c>
      <c r="I258" s="3">
        <v>143.30000000000001</v>
      </c>
      <c r="J258" s="3">
        <v>167</v>
      </c>
      <c r="K258" s="3">
        <v>139.69999999999999</v>
      </c>
      <c r="L258" s="3">
        <v>114.4</v>
      </c>
      <c r="M258" s="3">
        <v>151.5</v>
      </c>
      <c r="N258" s="3">
        <v>131.9</v>
      </c>
      <c r="O258" s="3">
        <v>159.1</v>
      </c>
      <c r="P258" s="3">
        <v>150.1</v>
      </c>
      <c r="Q258" s="3">
        <v>173.3</v>
      </c>
      <c r="R258" s="3">
        <v>147.69999999999999</v>
      </c>
      <c r="S258" s="3">
        <v>133.80000000000001</v>
      </c>
      <c r="T258" s="3">
        <v>145.6</v>
      </c>
      <c r="U258" s="3">
        <v>154.5</v>
      </c>
      <c r="V258" s="3">
        <f t="shared" ref="V258:V321" si="35">IF(U258="NA",AVERAGE(U259,U260),U258)</f>
        <v>154.5</v>
      </c>
      <c r="W258" s="3">
        <v>141.4</v>
      </c>
      <c r="X258" s="3">
        <v>140.80000000000001</v>
      </c>
      <c r="Y258" s="3">
        <v>145</v>
      </c>
      <c r="Z258" s="3">
        <v>124.6</v>
      </c>
      <c r="AA258" s="3">
        <v>137.9</v>
      </c>
      <c r="AB258" s="3">
        <v>152.5</v>
      </c>
      <c r="AC258" s="3">
        <v>145.30000000000001</v>
      </c>
      <c r="AD258" s="3">
        <v>138.69999999999999</v>
      </c>
      <c r="AE258" s="3">
        <v>147.30000000000001</v>
      </c>
      <c r="AF258">
        <f t="shared" si="29"/>
        <v>1898.5</v>
      </c>
      <c r="AG258">
        <f t="shared" si="30"/>
        <v>427.1</v>
      </c>
      <c r="AH258">
        <f t="shared" si="31"/>
        <v>266</v>
      </c>
      <c r="AI258">
        <f t="shared" si="32"/>
        <v>447.8</v>
      </c>
      <c r="AJ258">
        <f t="shared" si="33"/>
        <v>290.3</v>
      </c>
      <c r="AK258">
        <f t="shared" si="34"/>
        <v>449.90000000000003</v>
      </c>
    </row>
    <row r="259" spans="1:37" x14ac:dyDescent="0.25">
      <c r="A259" s="6" t="s">
        <v>34</v>
      </c>
      <c r="B259" s="6">
        <v>2020</v>
      </c>
      <c r="C259" s="6" t="s">
        <v>36</v>
      </c>
      <c r="D259" s="3">
        <v>145.1</v>
      </c>
      <c r="E259" s="3">
        <v>167</v>
      </c>
      <c r="F259" s="3">
        <v>148.1</v>
      </c>
      <c r="G259" s="3">
        <v>151.5</v>
      </c>
      <c r="H259" s="3">
        <v>131.19999999999999</v>
      </c>
      <c r="I259" s="3">
        <v>142.5</v>
      </c>
      <c r="J259" s="3">
        <v>157.30000000000001</v>
      </c>
      <c r="K259" s="3">
        <v>141.1</v>
      </c>
      <c r="L259" s="3">
        <v>113.2</v>
      </c>
      <c r="M259" s="3">
        <v>153.19999999999999</v>
      </c>
      <c r="N259" s="3">
        <v>136.69999999999999</v>
      </c>
      <c r="O259" s="3">
        <v>159.6</v>
      </c>
      <c r="P259" s="3">
        <v>148.9</v>
      </c>
      <c r="Q259" s="3">
        <v>171.2</v>
      </c>
      <c r="R259" s="3">
        <v>151.19999999999999</v>
      </c>
      <c r="S259" s="3">
        <v>141.9</v>
      </c>
      <c r="T259" s="3">
        <v>149.80000000000001</v>
      </c>
      <c r="U259" s="3">
        <v>154.5</v>
      </c>
      <c r="V259" s="3">
        <f t="shared" si="35"/>
        <v>154.5</v>
      </c>
      <c r="W259" s="3">
        <v>148.9</v>
      </c>
      <c r="X259" s="3">
        <v>146.4</v>
      </c>
      <c r="Y259" s="3">
        <v>152.30000000000001</v>
      </c>
      <c r="Z259" s="3">
        <v>129.9</v>
      </c>
      <c r="AA259" s="3">
        <v>143.69999999999999</v>
      </c>
      <c r="AB259" s="3">
        <v>156.1</v>
      </c>
      <c r="AC259" s="3">
        <v>145.19999999999999</v>
      </c>
      <c r="AD259" s="3">
        <v>143.80000000000001</v>
      </c>
      <c r="AE259" s="3">
        <v>148.6</v>
      </c>
      <c r="AF259">
        <f t="shared" ref="AF259:AF322" si="36">SUM(D259,E259,F259,G259,H259,I259,J259,K259,L259,M259,N259,O259,P259)</f>
        <v>1895.4</v>
      </c>
      <c r="AG259">
        <f t="shared" ref="AG259:AG322" si="37">SUM(R259,S259,T259)</f>
        <v>442.90000000000003</v>
      </c>
      <c r="AH259">
        <f t="shared" ref="AH259:AH322" si="38">SUM(W259,Z259)</f>
        <v>278.8</v>
      </c>
      <c r="AI259">
        <f t="shared" ref="AI259:AI322" si="39">SUM(V259,X259,AB259)</f>
        <v>457</v>
      </c>
      <c r="AJ259">
        <f t="shared" ref="AJ259:AJ322" si="40">SUM(Y259,AC259)</f>
        <v>297.5</v>
      </c>
      <c r="AK259">
        <f t="shared" ref="AK259:AK322" si="41">SUM(Q259,AA259,AD259)</f>
        <v>458.7</v>
      </c>
    </row>
    <row r="260" spans="1:37" x14ac:dyDescent="0.25">
      <c r="A260" s="6" t="s">
        <v>30</v>
      </c>
      <c r="B260" s="6">
        <v>2020</v>
      </c>
      <c r="C260" s="6" t="s">
        <v>37</v>
      </c>
      <c r="D260" s="3">
        <v>147.19999999999999</v>
      </c>
      <c r="E260" s="4">
        <f>AVERAGE(D254,D257,E266)</f>
        <v>159.63333333333335</v>
      </c>
      <c r="F260" s="3">
        <v>146.9</v>
      </c>
      <c r="G260" s="3">
        <v>155.6</v>
      </c>
      <c r="H260" s="3">
        <v>137.1</v>
      </c>
      <c r="I260" s="3">
        <v>147.30000000000001</v>
      </c>
      <c r="J260" s="3">
        <v>162.69999999999999</v>
      </c>
      <c r="K260" s="3">
        <v>150.19999999999999</v>
      </c>
      <c r="L260" s="3">
        <v>119.8</v>
      </c>
      <c r="M260" s="3">
        <v>158.69999999999999</v>
      </c>
      <c r="N260" s="3">
        <v>139.19999999999999</v>
      </c>
      <c r="O260" s="4">
        <f>AVERAGE(O257,O254,O266)</f>
        <v>160.33333333333334</v>
      </c>
      <c r="P260" s="3">
        <v>150.1</v>
      </c>
      <c r="Q260" s="3">
        <f>AVERAGE(Q257,Q254,Q266)</f>
        <v>174.1</v>
      </c>
      <c r="R260" s="3">
        <f>AVERAGE(R254,R257,R266)</f>
        <v>153.69999999999999</v>
      </c>
      <c r="S260" s="3">
        <f>AVERAGE(S251,S254,S257)</f>
        <v>147.5</v>
      </c>
      <c r="T260" s="4">
        <f>AVERAGE(T254,T257,T266)</f>
        <v>152.96666666666667</v>
      </c>
      <c r="U260" s="3" t="s">
        <v>32</v>
      </c>
      <c r="V260" s="3">
        <f t="shared" si="35"/>
        <v>155.6</v>
      </c>
      <c r="W260" s="3">
        <v>148.4</v>
      </c>
      <c r="X260" s="4">
        <f>AVERAGE(X257,X254,X266)</f>
        <v>151.66666666666666</v>
      </c>
      <c r="Y260" s="3">
        <v>154.30000000000001</v>
      </c>
      <c r="Z260" s="4">
        <f t="shared" ref="Z260:AE260" si="42">AVERAGE(Z257,Z254,Z266)</f>
        <v>137.73333333333335</v>
      </c>
      <c r="AA260" s="3">
        <f t="shared" si="42"/>
        <v>151.6</v>
      </c>
      <c r="AB260" s="4">
        <f t="shared" si="42"/>
        <v>161.63333333333335</v>
      </c>
      <c r="AC260" s="4">
        <f t="shared" si="42"/>
        <v>146.56666666666666</v>
      </c>
      <c r="AD260" s="4">
        <f t="shared" si="42"/>
        <v>149.56666666666666</v>
      </c>
      <c r="AE260" s="4">
        <f t="shared" si="42"/>
        <v>150.96666666666667</v>
      </c>
      <c r="AF260" s="11">
        <f t="shared" si="36"/>
        <v>1934.7666666666667</v>
      </c>
      <c r="AG260" s="11">
        <f t="shared" si="37"/>
        <v>454.16666666666663</v>
      </c>
      <c r="AH260" s="11">
        <f t="shared" si="38"/>
        <v>286.13333333333333</v>
      </c>
      <c r="AI260">
        <f t="shared" si="39"/>
        <v>468.9</v>
      </c>
      <c r="AJ260" s="11">
        <f t="shared" si="40"/>
        <v>300.86666666666667</v>
      </c>
      <c r="AK260" s="11">
        <f t="shared" si="41"/>
        <v>475.26666666666665</v>
      </c>
    </row>
    <row r="261" spans="1:37" x14ac:dyDescent="0.25">
      <c r="A261" s="6" t="s">
        <v>33</v>
      </c>
      <c r="B261" s="6">
        <v>2020</v>
      </c>
      <c r="C261" s="6" t="s">
        <v>37</v>
      </c>
      <c r="D261" s="3">
        <v>151.80000000000001</v>
      </c>
      <c r="E261" s="3">
        <f>AVERAGE(E255,E267,E267)</f>
        <v>187.20000000000002</v>
      </c>
      <c r="F261" s="3">
        <v>151.9</v>
      </c>
      <c r="G261" s="3">
        <v>155.5</v>
      </c>
      <c r="H261" s="3">
        <v>131.6</v>
      </c>
      <c r="I261" s="3">
        <v>152.9</v>
      </c>
      <c r="J261" s="3">
        <v>180</v>
      </c>
      <c r="K261" s="3">
        <v>150.80000000000001</v>
      </c>
      <c r="L261" s="3">
        <v>121.2</v>
      </c>
      <c r="M261" s="3">
        <v>154</v>
      </c>
      <c r="N261" s="3">
        <v>133.5</v>
      </c>
      <c r="O261" s="4">
        <f>AVERAGE(O255,O258,O267)</f>
        <v>159.93333333333334</v>
      </c>
      <c r="P261" s="3">
        <v>153.5</v>
      </c>
      <c r="Q261" s="4">
        <f>AVERAGE(Q258,Q255,Q267)</f>
        <v>177.33333333333334</v>
      </c>
      <c r="R261" s="4">
        <f>AVERAGE(R255,R258,R267)</f>
        <v>148.03333333333333</v>
      </c>
      <c r="S261" s="4">
        <f>AVERAGE(S255,S258,S267)</f>
        <v>134.63333333333333</v>
      </c>
      <c r="T261" s="3">
        <f>AVERAGE(T255,T258,T267)</f>
        <v>145.99999999999997</v>
      </c>
      <c r="U261" s="3">
        <v>155.6</v>
      </c>
      <c r="V261" s="3">
        <f t="shared" si="35"/>
        <v>155.6</v>
      </c>
      <c r="W261" s="3">
        <v>137.1</v>
      </c>
      <c r="X261" s="4">
        <f>AVERAGE(X255,X267,X258)</f>
        <v>140.53333333333333</v>
      </c>
      <c r="Y261" s="3">
        <v>144.80000000000001</v>
      </c>
      <c r="Z261" s="4">
        <f>AVERAGE(Z255,Z258,Z267)</f>
        <v>126.36666666666667</v>
      </c>
      <c r="AA261" s="4">
        <f t="shared" ref="AA261:AE262" si="43">AVERAGE(AA258,AA255,AA267)</f>
        <v>140.03333333333333</v>
      </c>
      <c r="AB261" s="3">
        <f t="shared" si="43"/>
        <v>152.4</v>
      </c>
      <c r="AC261" s="4">
        <f t="shared" si="43"/>
        <v>147</v>
      </c>
      <c r="AD261" s="3">
        <f t="shared" si="43"/>
        <v>139.70000000000002</v>
      </c>
      <c r="AE261" s="3">
        <f t="shared" si="43"/>
        <v>148.6</v>
      </c>
      <c r="AF261" s="11">
        <f t="shared" si="36"/>
        <v>1983.8333333333335</v>
      </c>
      <c r="AG261" s="11">
        <f t="shared" si="37"/>
        <v>428.66666666666663</v>
      </c>
      <c r="AH261" s="11">
        <f t="shared" si="38"/>
        <v>263.4666666666667</v>
      </c>
      <c r="AI261" s="11">
        <f t="shared" si="39"/>
        <v>448.5333333333333</v>
      </c>
      <c r="AJ261">
        <f t="shared" si="40"/>
        <v>291.8</v>
      </c>
      <c r="AK261" s="11">
        <f t="shared" si="41"/>
        <v>457.06666666666672</v>
      </c>
    </row>
    <row r="262" spans="1:37" x14ac:dyDescent="0.25">
      <c r="A262" s="6" t="s">
        <v>34</v>
      </c>
      <c r="B262" s="6">
        <v>2020</v>
      </c>
      <c r="C262" s="6" t="s">
        <v>37</v>
      </c>
      <c r="D262" s="3">
        <v>148.69999999999999</v>
      </c>
      <c r="E262" s="4">
        <f>AVERAGE(E256,E259,E268)</f>
        <v>175.73333333333335</v>
      </c>
      <c r="F262" s="3">
        <v>148.80000000000001</v>
      </c>
      <c r="G262" s="3">
        <v>155.6</v>
      </c>
      <c r="H262" s="3">
        <v>135.1</v>
      </c>
      <c r="I262" s="3">
        <v>149.9</v>
      </c>
      <c r="J262" s="3">
        <v>168.6</v>
      </c>
      <c r="K262" s="3">
        <v>150.4</v>
      </c>
      <c r="L262" s="3">
        <v>120.3</v>
      </c>
      <c r="M262" s="3">
        <v>157.1</v>
      </c>
      <c r="N262" s="3">
        <v>136.80000000000001</v>
      </c>
      <c r="O262" s="4">
        <f>AVERAGE(O259,O256,O268)</f>
        <v>160.16666666666666</v>
      </c>
      <c r="P262" s="3">
        <v>151.4</v>
      </c>
      <c r="Q262" s="4">
        <f>AVERAGE(Q259,Q256,Q268)</f>
        <v>174.93333333333331</v>
      </c>
      <c r="R262" s="3">
        <f>AVERAGE(R256,R259,R268)</f>
        <v>151.5</v>
      </c>
      <c r="S262" s="4">
        <f>AVERAGE(S256,S259,S268)</f>
        <v>142.66666666666666</v>
      </c>
      <c r="T262" s="4">
        <f>AVERAGE(T259,T256,T268)</f>
        <v>150.23333333333335</v>
      </c>
      <c r="U262" s="3">
        <v>155.6</v>
      </c>
      <c r="V262" s="3">
        <f t="shared" si="35"/>
        <v>155.6</v>
      </c>
      <c r="W262" s="3">
        <v>144.1</v>
      </c>
      <c r="X262" s="3">
        <f>AVERAGE(X259,X256,X268)</f>
        <v>146.4</v>
      </c>
      <c r="Y262" s="3">
        <v>150.69999999999999</v>
      </c>
      <c r="Z262" s="4">
        <f>AVERAGE(Z259,Z256,Z268)</f>
        <v>131.73333333333335</v>
      </c>
      <c r="AA262" s="4">
        <f t="shared" si="43"/>
        <v>145.06666666666666</v>
      </c>
      <c r="AB262" s="4">
        <f t="shared" si="43"/>
        <v>156.23333333333332</v>
      </c>
      <c r="AC262" s="4">
        <f t="shared" si="43"/>
        <v>146.73333333333335</v>
      </c>
      <c r="AD262" s="3">
        <f t="shared" si="43"/>
        <v>144.79999999999998</v>
      </c>
      <c r="AE262" s="4">
        <f t="shared" si="43"/>
        <v>149.83333333333334</v>
      </c>
      <c r="AF262">
        <f t="shared" si="36"/>
        <v>1958.6000000000001</v>
      </c>
      <c r="AG262">
        <f t="shared" si="37"/>
        <v>444.4</v>
      </c>
      <c r="AH262" s="11">
        <f t="shared" si="38"/>
        <v>275.83333333333337</v>
      </c>
      <c r="AI262" s="11">
        <f t="shared" si="39"/>
        <v>458.23333333333335</v>
      </c>
      <c r="AJ262" s="11">
        <f t="shared" si="40"/>
        <v>297.43333333333334</v>
      </c>
      <c r="AK262">
        <f t="shared" si="41"/>
        <v>464.79999999999995</v>
      </c>
    </row>
    <row r="263" spans="1:37" x14ac:dyDescent="0.25">
      <c r="A263" s="6" t="s">
        <v>30</v>
      </c>
      <c r="B263" s="6">
        <v>2020</v>
      </c>
      <c r="C263" s="6" t="s">
        <v>38</v>
      </c>
      <c r="D263" s="4">
        <f>AVERAGE(D260,D266,D269)</f>
        <v>147.86666666666665</v>
      </c>
      <c r="E263" s="3">
        <f>AVERAGE(E269,E266,E269)</f>
        <v>190.30000000000004</v>
      </c>
      <c r="F263" s="4">
        <f>AVERAGE(F260,F257,F266)</f>
        <v>147.96666666666667</v>
      </c>
      <c r="G263" s="4">
        <f t="shared" ref="G263:N265" si="44">AVERAGE(G260,G266,G269)</f>
        <v>154.06666666666666</v>
      </c>
      <c r="H263" s="4">
        <f t="shared" si="44"/>
        <v>137.83333333333331</v>
      </c>
      <c r="I263" s="4">
        <f t="shared" si="44"/>
        <v>144.56666666666666</v>
      </c>
      <c r="J263" s="3">
        <f t="shared" si="44"/>
        <v>153.5</v>
      </c>
      <c r="K263" s="4">
        <f t="shared" si="44"/>
        <v>150.26666666666668</v>
      </c>
      <c r="L263" s="3">
        <f t="shared" si="44"/>
        <v>115.39999999999999</v>
      </c>
      <c r="M263" s="4">
        <f t="shared" si="44"/>
        <v>159.43333333333334</v>
      </c>
      <c r="N263" s="4">
        <f t="shared" si="44"/>
        <v>141.13333333333333</v>
      </c>
      <c r="O263" s="3">
        <f>AVERAGE(O257,O266,O269)</f>
        <v>161.20000000000002</v>
      </c>
      <c r="P263" s="4">
        <f>AVERAGE(P260,'Main Data'!P266,'Main Data'!P269)</f>
        <v>151.56666666666666</v>
      </c>
      <c r="Q263" s="4">
        <f t="shared" ref="Q263:R265" si="45">AVERAGE(Q257,Q266,Q269)</f>
        <v>178.43333333333331</v>
      </c>
      <c r="R263" s="4">
        <f t="shared" si="45"/>
        <v>154.26666666666668</v>
      </c>
      <c r="S263" s="4">
        <f>AVERAGE(S257,S260,S266)</f>
        <v>148.36666666666667</v>
      </c>
      <c r="T263" s="4">
        <f>AVERAGE(T257,T266,T269)</f>
        <v>153.56666666666669</v>
      </c>
      <c r="U263" s="3" t="s">
        <v>32</v>
      </c>
      <c r="V263" s="4">
        <f t="shared" si="35"/>
        <v>155.17499999999998</v>
      </c>
      <c r="W263" s="4">
        <f>AVERAGE(W260,W266,W269)</f>
        <v>146.06666666666669</v>
      </c>
      <c r="X263" s="4">
        <f>AVERAGE(X257,X266,,X269)</f>
        <v>113.72499999999999</v>
      </c>
      <c r="Y263" s="3">
        <f>AVERAGE(Y260,Y266,Y269)</f>
        <v>156.9</v>
      </c>
      <c r="Z263" s="4">
        <f t="shared" ref="Z263:AA265" si="46">AVERAGE(Z257,Z266,Z269)</f>
        <v>139.53333333333333</v>
      </c>
      <c r="AA263" s="4">
        <f t="shared" si="46"/>
        <v>152.53333333333333</v>
      </c>
      <c r="AB263" s="3">
        <f t="shared" ref="AB263:AE264" si="47">AVERAGE(AB266,AB269,AB257)</f>
        <v>161.6</v>
      </c>
      <c r="AC263" s="4">
        <f t="shared" si="47"/>
        <v>149.16666666666666</v>
      </c>
      <c r="AD263" s="4">
        <f t="shared" si="47"/>
        <v>150.66666666666666</v>
      </c>
      <c r="AE263" s="4">
        <f t="shared" si="47"/>
        <v>151.73333333333332</v>
      </c>
      <c r="AF263">
        <f t="shared" si="36"/>
        <v>1955.1000000000001</v>
      </c>
      <c r="AG263">
        <f t="shared" si="37"/>
        <v>456.20000000000005</v>
      </c>
      <c r="AH263">
        <f t="shared" si="38"/>
        <v>285.60000000000002</v>
      </c>
      <c r="AI263">
        <f t="shared" si="39"/>
        <v>430.5</v>
      </c>
      <c r="AJ263" s="11">
        <f t="shared" si="40"/>
        <v>306.06666666666666</v>
      </c>
      <c r="AK263" s="11">
        <f t="shared" si="41"/>
        <v>481.63333333333333</v>
      </c>
    </row>
    <row r="264" spans="1:37" x14ac:dyDescent="0.25">
      <c r="A264" s="6" t="s">
        <v>33</v>
      </c>
      <c r="B264" s="6">
        <v>2020</v>
      </c>
      <c r="C264" s="6" t="s">
        <v>38</v>
      </c>
      <c r="D264" s="3">
        <f>AVERAGE(D261,D267,D270)</f>
        <v>152.4</v>
      </c>
      <c r="E264" s="4">
        <f>AVERAGE(E258,E267,E270)</f>
        <v>187.16666666666666</v>
      </c>
      <c r="F264" s="3">
        <f>AVERAGE(F258,F258,F267)</f>
        <v>150.79999999999998</v>
      </c>
      <c r="G264" s="3">
        <f t="shared" si="44"/>
        <v>154.1</v>
      </c>
      <c r="H264" s="4">
        <f t="shared" si="44"/>
        <v>132.46666666666667</v>
      </c>
      <c r="I264" s="4">
        <f t="shared" si="44"/>
        <v>152.16666666666669</v>
      </c>
      <c r="J264" s="4">
        <f t="shared" si="44"/>
        <v>174.13333333333333</v>
      </c>
      <c r="K264" s="3">
        <f t="shared" si="44"/>
        <v>151.6</v>
      </c>
      <c r="L264" s="4">
        <f t="shared" si="44"/>
        <v>117.93333333333334</v>
      </c>
      <c r="M264" s="3">
        <f t="shared" si="44"/>
        <v>157.20000000000002</v>
      </c>
      <c r="N264" s="3">
        <f t="shared" si="44"/>
        <v>134.9</v>
      </c>
      <c r="O264" s="4">
        <f>AVERAGE(O258,O267,O270)</f>
        <v>160.83333333333331</v>
      </c>
      <c r="P264" s="4">
        <f>AVERAGE(P261,P267,P270)</f>
        <v>155.83333333333334</v>
      </c>
      <c r="Q264" s="4">
        <f t="shared" si="45"/>
        <v>182.23333333333335</v>
      </c>
      <c r="R264" s="4">
        <f t="shared" si="45"/>
        <v>148.63333333333333</v>
      </c>
      <c r="S264" s="4">
        <f>AVERAGE(S258,S267,S270)</f>
        <v>135.66666666666666</v>
      </c>
      <c r="T264" s="4">
        <f>AVERAGE(T258,T267,T270)</f>
        <v>146.66666666666666</v>
      </c>
      <c r="U264" s="4">
        <f>AVERAGE(U262,U267)</f>
        <v>155.14999999999998</v>
      </c>
      <c r="V264" s="4">
        <f t="shared" si="35"/>
        <v>155.14999999999998</v>
      </c>
      <c r="W264" s="3">
        <f>AVERAGE(W261,W267,W270)</f>
        <v>137.1</v>
      </c>
      <c r="X264" s="3">
        <f>AVERAGE(X267,X270,X259)</f>
        <v>142.4</v>
      </c>
      <c r="Y264" s="4">
        <f>AVERAGE(Y267,Y270,Y258)</f>
        <v>147.06666666666666</v>
      </c>
      <c r="Z264" s="4">
        <f t="shared" si="46"/>
        <v>127.73333333333335</v>
      </c>
      <c r="AA264" s="3">
        <f t="shared" si="46"/>
        <v>142.29999999999998</v>
      </c>
      <c r="AB264" s="3">
        <f t="shared" si="47"/>
        <v>152.5</v>
      </c>
      <c r="AC264" s="3">
        <f t="shared" si="47"/>
        <v>149.9</v>
      </c>
      <c r="AD264" s="3">
        <f t="shared" si="47"/>
        <v>140.9</v>
      </c>
      <c r="AE264" s="4">
        <f t="shared" si="47"/>
        <v>149.63333333333335</v>
      </c>
      <c r="AF264" s="11">
        <f t="shared" si="36"/>
        <v>1981.5333333333335</v>
      </c>
      <c r="AG264" s="11">
        <f t="shared" si="37"/>
        <v>430.96666666666658</v>
      </c>
      <c r="AH264" s="11">
        <f t="shared" si="38"/>
        <v>264.83333333333337</v>
      </c>
      <c r="AI264" s="11">
        <f t="shared" si="39"/>
        <v>450.04999999999995</v>
      </c>
      <c r="AJ264" s="11">
        <f t="shared" si="40"/>
        <v>296.9666666666667</v>
      </c>
      <c r="AK264" s="11">
        <f t="shared" si="41"/>
        <v>465.43333333333328</v>
      </c>
    </row>
    <row r="265" spans="1:37" x14ac:dyDescent="0.25">
      <c r="A265" s="6" t="s">
        <v>34</v>
      </c>
      <c r="B265" s="6">
        <v>2020</v>
      </c>
      <c r="C265" s="6" t="s">
        <v>38</v>
      </c>
      <c r="D265" s="3">
        <f>AVERAGE(D262,D268,D271)</f>
        <v>149.29999999999998</v>
      </c>
      <c r="E265" s="4">
        <f>AVERAGE(E259,E268,E271)</f>
        <v>184.13333333333333</v>
      </c>
      <c r="F265" s="4">
        <f>AVERAGE(F262,F259,F268)</f>
        <v>149.43333333333331</v>
      </c>
      <c r="G265" s="4">
        <f t="shared" si="44"/>
        <v>154.06666666666666</v>
      </c>
      <c r="H265" s="3">
        <f t="shared" si="44"/>
        <v>135.9</v>
      </c>
      <c r="I265" s="3">
        <f t="shared" si="44"/>
        <v>148.1</v>
      </c>
      <c r="J265" s="4">
        <f t="shared" si="44"/>
        <v>160.53333333333333</v>
      </c>
      <c r="K265" s="4">
        <f t="shared" si="44"/>
        <v>150.73333333333335</v>
      </c>
      <c r="L265" s="4">
        <f t="shared" si="44"/>
        <v>116.23333333333333</v>
      </c>
      <c r="M265" s="3">
        <f t="shared" si="44"/>
        <v>158.70000000000002</v>
      </c>
      <c r="N265" s="4">
        <f t="shared" si="44"/>
        <v>138.53333333333333</v>
      </c>
      <c r="O265" s="4">
        <f>AVERAGE(O259,O268,O271)</f>
        <v>161.06666666666666</v>
      </c>
      <c r="P265" s="4">
        <f>AVERAGE(P262,P268,P271)</f>
        <v>153.13333333333333</v>
      </c>
      <c r="Q265" s="3">
        <f t="shared" si="45"/>
        <v>179.4</v>
      </c>
      <c r="R265" s="4">
        <f t="shared" si="45"/>
        <v>152.06666666666666</v>
      </c>
      <c r="S265" s="4">
        <f>AVERAGE(S259,S268,S271)</f>
        <v>143.56666666666669</v>
      </c>
      <c r="T265" s="4">
        <f>AVERAGE(T268,T271,T259)</f>
        <v>150.86666666666667</v>
      </c>
      <c r="U265" s="3">
        <v>155.19999999999999</v>
      </c>
      <c r="V265" s="3">
        <f t="shared" si="35"/>
        <v>155.19999999999999</v>
      </c>
      <c r="W265" s="4">
        <f>AVERAGE(W262,W268,W271)</f>
        <v>142.63333333333333</v>
      </c>
      <c r="X265" s="3">
        <f>AVERAGE(X268,X271,X259)</f>
        <v>146.4</v>
      </c>
      <c r="Y265" s="3">
        <f>AVERAGE(Y268,Y271,Y259)</f>
        <v>153.70000000000002</v>
      </c>
      <c r="Z265" s="3">
        <f t="shared" si="46"/>
        <v>133.29999999999998</v>
      </c>
      <c r="AA265" s="4">
        <f t="shared" si="46"/>
        <v>146.76666666666668</v>
      </c>
      <c r="AB265" s="3">
        <f>AVERAGE(AB259,AB268,AB271)</f>
        <v>156.29999999999998</v>
      </c>
      <c r="AC265" s="4">
        <f>AVERAGE(AC268,AC271,AC259)</f>
        <v>149.46666666666667</v>
      </c>
      <c r="AD265" s="4">
        <f>AVERAGE(AD268,AD271,AD259)</f>
        <v>145.93333333333334</v>
      </c>
      <c r="AE265" s="4">
        <f>AVERAGE(AE268,AE271,AE259)</f>
        <v>150.73333333333335</v>
      </c>
      <c r="AF265" s="10">
        <f t="shared" si="36"/>
        <v>1959.8666666666663</v>
      </c>
      <c r="AG265">
        <f t="shared" si="37"/>
        <v>446.5</v>
      </c>
      <c r="AH265" s="11">
        <f t="shared" si="38"/>
        <v>275.93333333333328</v>
      </c>
      <c r="AI265">
        <f t="shared" si="39"/>
        <v>457.9</v>
      </c>
      <c r="AJ265" s="11">
        <f t="shared" si="40"/>
        <v>303.16666666666669</v>
      </c>
      <c r="AK265">
        <f t="shared" si="41"/>
        <v>472.1</v>
      </c>
    </row>
    <row r="266" spans="1:37" x14ac:dyDescent="0.25">
      <c r="A266" s="6" t="s">
        <v>30</v>
      </c>
      <c r="B266" s="6">
        <v>2020</v>
      </c>
      <c r="C266" s="6" t="s">
        <v>39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v>182.4</v>
      </c>
      <c r="R266" s="3">
        <v>154.69999999999999</v>
      </c>
      <c r="S266" s="3">
        <v>150</v>
      </c>
      <c r="T266" s="3">
        <v>154.1</v>
      </c>
      <c r="U266" s="3" t="s">
        <v>32</v>
      </c>
      <c r="V266" s="3">
        <f t="shared" si="35"/>
        <v>154.69999999999999</v>
      </c>
      <c r="W266" s="3">
        <v>144.9</v>
      </c>
      <c r="X266" s="3">
        <v>151.69999999999999</v>
      </c>
      <c r="Y266" s="3">
        <v>158.19999999999999</v>
      </c>
      <c r="Z266" s="3">
        <v>141.4</v>
      </c>
      <c r="AA266" s="3">
        <v>153.19999999999999</v>
      </c>
      <c r="AB266" s="3">
        <v>161.80000000000001</v>
      </c>
      <c r="AC266" s="3">
        <v>151.19999999999999</v>
      </c>
      <c r="AD266" s="3">
        <v>151.69999999999999</v>
      </c>
      <c r="AE266" s="3">
        <v>152.69999999999999</v>
      </c>
      <c r="AF266">
        <f t="shared" si="36"/>
        <v>1951</v>
      </c>
      <c r="AG266">
        <f t="shared" si="37"/>
        <v>458.79999999999995</v>
      </c>
      <c r="AH266">
        <f t="shared" si="38"/>
        <v>286.3</v>
      </c>
      <c r="AI266">
        <f t="shared" si="39"/>
        <v>468.2</v>
      </c>
      <c r="AJ266">
        <f t="shared" si="40"/>
        <v>309.39999999999998</v>
      </c>
      <c r="AK266">
        <f t="shared" si="41"/>
        <v>487.3</v>
      </c>
    </row>
    <row r="267" spans="1:37" x14ac:dyDescent="0.25">
      <c r="A267" s="6" t="s">
        <v>33</v>
      </c>
      <c r="B267" s="6">
        <v>2020</v>
      </c>
      <c r="C267" s="6" t="s">
        <v>39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v>186.7</v>
      </c>
      <c r="R267" s="3">
        <v>149.1</v>
      </c>
      <c r="S267" s="3">
        <v>136.6</v>
      </c>
      <c r="T267" s="3">
        <v>147.19999999999999</v>
      </c>
      <c r="U267" s="3">
        <v>154.69999999999999</v>
      </c>
      <c r="V267" s="3">
        <f t="shared" si="35"/>
        <v>154.69999999999999</v>
      </c>
      <c r="W267" s="3">
        <v>137.1</v>
      </c>
      <c r="X267" s="3">
        <v>140.4</v>
      </c>
      <c r="Y267" s="3">
        <v>148.1</v>
      </c>
      <c r="Z267" s="3">
        <v>129.30000000000001</v>
      </c>
      <c r="AA267" s="3">
        <v>144.5</v>
      </c>
      <c r="AB267" s="3">
        <v>152.5</v>
      </c>
      <c r="AC267" s="3">
        <v>152.19999999999999</v>
      </c>
      <c r="AD267" s="3">
        <v>142</v>
      </c>
      <c r="AE267" s="3">
        <v>150.80000000000001</v>
      </c>
      <c r="AF267">
        <f t="shared" si="36"/>
        <v>1994.9999999999998</v>
      </c>
      <c r="AG267">
        <f t="shared" si="37"/>
        <v>432.9</v>
      </c>
      <c r="AH267">
        <f t="shared" si="38"/>
        <v>266.39999999999998</v>
      </c>
      <c r="AI267">
        <f t="shared" si="39"/>
        <v>447.6</v>
      </c>
      <c r="AJ267">
        <f t="shared" si="40"/>
        <v>300.29999999999995</v>
      </c>
      <c r="AK267">
        <f t="shared" si="41"/>
        <v>473.2</v>
      </c>
    </row>
    <row r="268" spans="1:37" x14ac:dyDescent="0.25">
      <c r="A268" s="6" t="s">
        <v>34</v>
      </c>
      <c r="B268" s="6">
        <v>2020</v>
      </c>
      <c r="C268" s="6" t="s">
        <v>39</v>
      </c>
      <c r="D268" s="3">
        <v>149.6</v>
      </c>
      <c r="E268" s="3">
        <v>192.7</v>
      </c>
      <c r="F268" s="3">
        <v>151.4</v>
      </c>
      <c r="G268" s="3">
        <v>153.30000000000001</v>
      </c>
      <c r="H268" s="3">
        <v>136.30000000000001</v>
      </c>
      <c r="I268" s="3">
        <v>147.19999999999999</v>
      </c>
      <c r="J268" s="3">
        <v>156.5</v>
      </c>
      <c r="K268" s="3">
        <v>150.9</v>
      </c>
      <c r="L268" s="3">
        <v>114.2</v>
      </c>
      <c r="M268" s="3">
        <v>159.5</v>
      </c>
      <c r="N268" s="3">
        <v>139.4</v>
      </c>
      <c r="O268" s="3">
        <v>161.80000000000001</v>
      </c>
      <c r="P268" s="3">
        <v>154</v>
      </c>
      <c r="Q268" s="3">
        <v>183.5</v>
      </c>
      <c r="R268" s="3">
        <v>152.5</v>
      </c>
      <c r="S268" s="3">
        <v>144.4</v>
      </c>
      <c r="T268" s="3">
        <v>151.4</v>
      </c>
      <c r="U268" s="3">
        <v>154.69999999999999</v>
      </c>
      <c r="V268" s="3">
        <f t="shared" si="35"/>
        <v>154.69999999999999</v>
      </c>
      <c r="W268" s="3">
        <v>141.9</v>
      </c>
      <c r="X268" s="3">
        <v>146.4</v>
      </c>
      <c r="Y268" s="3">
        <v>154.4</v>
      </c>
      <c r="Z268" s="3">
        <v>135</v>
      </c>
      <c r="AA268" s="3">
        <v>148.30000000000001</v>
      </c>
      <c r="AB268" s="3">
        <v>156.4</v>
      </c>
      <c r="AC268" s="3">
        <v>151.6</v>
      </c>
      <c r="AD268" s="3">
        <v>147</v>
      </c>
      <c r="AE268" s="3">
        <v>151.80000000000001</v>
      </c>
      <c r="AF268">
        <f t="shared" si="36"/>
        <v>1966.8000000000002</v>
      </c>
      <c r="AG268">
        <f t="shared" si="37"/>
        <v>448.29999999999995</v>
      </c>
      <c r="AH268">
        <f t="shared" si="38"/>
        <v>276.89999999999998</v>
      </c>
      <c r="AI268">
        <f t="shared" si="39"/>
        <v>457.5</v>
      </c>
      <c r="AJ268">
        <f t="shared" si="40"/>
        <v>306</v>
      </c>
      <c r="AK268">
        <f t="shared" si="41"/>
        <v>478.8</v>
      </c>
    </row>
    <row r="269" spans="1:37" x14ac:dyDescent="0.25">
      <c r="A269" s="6" t="s">
        <v>30</v>
      </c>
      <c r="B269" s="6">
        <v>2020</v>
      </c>
      <c r="C269" s="6" t="s">
        <v>40</v>
      </c>
      <c r="D269" s="3">
        <v>148.19999999999999</v>
      </c>
      <c r="E269" s="3">
        <v>190.3</v>
      </c>
      <c r="F269" s="3">
        <v>149.4</v>
      </c>
      <c r="G269" s="3">
        <v>153.30000000000001</v>
      </c>
      <c r="H269" s="3">
        <v>138.19999999999999</v>
      </c>
      <c r="I269" s="3">
        <v>143.19999999999999</v>
      </c>
      <c r="J269" s="3">
        <v>148.9</v>
      </c>
      <c r="K269" s="3">
        <v>150.30000000000001</v>
      </c>
      <c r="L269" s="3">
        <v>113.2</v>
      </c>
      <c r="M269" s="3">
        <v>159.80000000000001</v>
      </c>
      <c r="N269" s="3">
        <v>142.1</v>
      </c>
      <c r="O269" s="3">
        <v>161.80000000000001</v>
      </c>
      <c r="P269" s="3">
        <v>152.30000000000001</v>
      </c>
      <c r="Q269" s="3">
        <v>182.4</v>
      </c>
      <c r="R269" s="3">
        <v>154.69999999999999</v>
      </c>
      <c r="S269" s="3">
        <v>150</v>
      </c>
      <c r="T269" s="3">
        <v>154.1</v>
      </c>
      <c r="U269" s="3" t="s">
        <v>32</v>
      </c>
      <c r="V269" s="3">
        <f t="shared" si="35"/>
        <v>154.69999999999999</v>
      </c>
      <c r="W269" s="3">
        <v>144.9</v>
      </c>
      <c r="X269" s="3">
        <v>151.69999999999999</v>
      </c>
      <c r="Y269" s="3">
        <v>158.19999999999999</v>
      </c>
      <c r="Z269" s="3">
        <v>141.4</v>
      </c>
      <c r="AA269" s="3">
        <v>153.19999999999999</v>
      </c>
      <c r="AB269" s="3">
        <v>161.80000000000001</v>
      </c>
      <c r="AC269" s="3">
        <v>151.19999999999999</v>
      </c>
      <c r="AD269" s="3">
        <v>151.69999999999999</v>
      </c>
      <c r="AE269" s="3">
        <v>152.69999999999999</v>
      </c>
      <c r="AF269">
        <f t="shared" si="36"/>
        <v>1951</v>
      </c>
      <c r="AG269">
        <f t="shared" si="37"/>
        <v>458.79999999999995</v>
      </c>
      <c r="AH269">
        <f t="shared" si="38"/>
        <v>286.3</v>
      </c>
      <c r="AI269">
        <f t="shared" si="39"/>
        <v>468.2</v>
      </c>
      <c r="AJ269">
        <f t="shared" si="40"/>
        <v>309.39999999999998</v>
      </c>
      <c r="AK269">
        <f t="shared" si="41"/>
        <v>487.3</v>
      </c>
    </row>
    <row r="270" spans="1:37" x14ac:dyDescent="0.25">
      <c r="A270" s="6" t="s">
        <v>33</v>
      </c>
      <c r="B270" s="6">
        <v>2020</v>
      </c>
      <c r="C270" s="6" t="s">
        <v>40</v>
      </c>
      <c r="D270" s="3">
        <v>152.69999999999999</v>
      </c>
      <c r="E270" s="3">
        <v>197</v>
      </c>
      <c r="F270" s="3">
        <v>154.6</v>
      </c>
      <c r="G270" s="3">
        <v>153.4</v>
      </c>
      <c r="H270" s="3">
        <v>132.9</v>
      </c>
      <c r="I270" s="3">
        <v>151.80000000000001</v>
      </c>
      <c r="J270" s="3">
        <v>171.2</v>
      </c>
      <c r="K270" s="3">
        <v>152</v>
      </c>
      <c r="L270" s="3">
        <v>116.3</v>
      </c>
      <c r="M270" s="3">
        <v>158.80000000000001</v>
      </c>
      <c r="N270" s="3">
        <v>135.6</v>
      </c>
      <c r="O270" s="3">
        <v>161.69999999999999</v>
      </c>
      <c r="P270" s="3">
        <v>157</v>
      </c>
      <c r="Q270" s="3">
        <v>186.7</v>
      </c>
      <c r="R270" s="3">
        <v>149.1</v>
      </c>
      <c r="S270" s="3">
        <v>136.6</v>
      </c>
      <c r="T270" s="3">
        <v>147.19999999999999</v>
      </c>
      <c r="U270" s="3">
        <v>154.69999999999999</v>
      </c>
      <c r="V270" s="3">
        <f t="shared" si="35"/>
        <v>154.69999999999999</v>
      </c>
      <c r="W270" s="3">
        <v>137.1</v>
      </c>
      <c r="X270" s="3">
        <v>140.4</v>
      </c>
      <c r="Y270" s="3">
        <v>148.1</v>
      </c>
      <c r="Z270" s="3">
        <v>129.30000000000001</v>
      </c>
      <c r="AA270" s="3">
        <v>144.5</v>
      </c>
      <c r="AB270" s="3">
        <v>152.5</v>
      </c>
      <c r="AC270" s="3">
        <v>152.19999999999999</v>
      </c>
      <c r="AD270" s="3">
        <v>142</v>
      </c>
      <c r="AE270" s="3">
        <v>150.80000000000001</v>
      </c>
      <c r="AF270">
        <f t="shared" si="36"/>
        <v>1994.9999999999998</v>
      </c>
      <c r="AG270">
        <f t="shared" si="37"/>
        <v>432.9</v>
      </c>
      <c r="AH270">
        <f t="shared" si="38"/>
        <v>266.39999999999998</v>
      </c>
      <c r="AI270">
        <f t="shared" si="39"/>
        <v>447.6</v>
      </c>
      <c r="AJ270">
        <f t="shared" si="40"/>
        <v>300.29999999999995</v>
      </c>
      <c r="AK270">
        <f t="shared" si="41"/>
        <v>473.2</v>
      </c>
    </row>
    <row r="271" spans="1:37" x14ac:dyDescent="0.25">
      <c r="A271" s="6" t="s">
        <v>34</v>
      </c>
      <c r="B271" s="6">
        <v>2020</v>
      </c>
      <c r="C271" s="6" t="s">
        <v>40</v>
      </c>
      <c r="D271" s="3">
        <v>149.6</v>
      </c>
      <c r="E271" s="3">
        <v>192.7</v>
      </c>
      <c r="F271" s="3">
        <v>151.4</v>
      </c>
      <c r="G271" s="3">
        <v>153.30000000000001</v>
      </c>
      <c r="H271" s="3">
        <v>136.30000000000001</v>
      </c>
      <c r="I271" s="3">
        <v>147.19999999999999</v>
      </c>
      <c r="J271" s="3">
        <v>156.5</v>
      </c>
      <c r="K271" s="3">
        <v>150.9</v>
      </c>
      <c r="L271" s="3">
        <v>114.2</v>
      </c>
      <c r="M271" s="3">
        <v>159.5</v>
      </c>
      <c r="N271" s="3">
        <v>139.4</v>
      </c>
      <c r="O271" s="3">
        <v>161.80000000000001</v>
      </c>
      <c r="P271" s="3">
        <v>154</v>
      </c>
      <c r="Q271" s="3">
        <v>183.5</v>
      </c>
      <c r="R271" s="3">
        <v>152.5</v>
      </c>
      <c r="S271" s="3">
        <v>144.4</v>
      </c>
      <c r="T271" s="3">
        <v>151.4</v>
      </c>
      <c r="U271" s="3">
        <v>154.69999999999999</v>
      </c>
      <c r="V271" s="3">
        <f t="shared" si="35"/>
        <v>154.69999999999999</v>
      </c>
      <c r="W271" s="3">
        <v>141.9</v>
      </c>
      <c r="X271" s="3">
        <v>146.4</v>
      </c>
      <c r="Y271" s="3">
        <v>154.4</v>
      </c>
      <c r="Z271" s="3">
        <v>135</v>
      </c>
      <c r="AA271" s="3">
        <v>148.30000000000001</v>
      </c>
      <c r="AB271" s="3">
        <v>156.4</v>
      </c>
      <c r="AC271" s="3">
        <v>151.6</v>
      </c>
      <c r="AD271" s="3">
        <v>147</v>
      </c>
      <c r="AE271" s="3">
        <v>151.80000000000001</v>
      </c>
      <c r="AF271">
        <f t="shared" si="36"/>
        <v>1966.8000000000002</v>
      </c>
      <c r="AG271">
        <f t="shared" si="37"/>
        <v>448.29999999999995</v>
      </c>
      <c r="AH271">
        <f t="shared" si="38"/>
        <v>276.89999999999998</v>
      </c>
      <c r="AI271">
        <f t="shared" si="39"/>
        <v>457.5</v>
      </c>
      <c r="AJ271">
        <f t="shared" si="40"/>
        <v>306</v>
      </c>
      <c r="AK271">
        <f t="shared" si="41"/>
        <v>478.8</v>
      </c>
    </row>
    <row r="272" spans="1:37" x14ac:dyDescent="0.25">
      <c r="A272" s="6" t="s">
        <v>30</v>
      </c>
      <c r="B272" s="6">
        <v>2020</v>
      </c>
      <c r="C272" s="6" t="s">
        <v>41</v>
      </c>
      <c r="D272" s="3">
        <v>147.6</v>
      </c>
      <c r="E272" s="3">
        <v>187.2</v>
      </c>
      <c r="F272" s="3">
        <v>148.4</v>
      </c>
      <c r="G272" s="3">
        <v>153.30000000000001</v>
      </c>
      <c r="H272" s="3">
        <v>139.80000000000001</v>
      </c>
      <c r="I272" s="3">
        <v>146.9</v>
      </c>
      <c r="J272" s="3">
        <v>171</v>
      </c>
      <c r="K272" s="3">
        <v>149.9</v>
      </c>
      <c r="L272" s="3">
        <v>114.2</v>
      </c>
      <c r="M272" s="3">
        <v>160</v>
      </c>
      <c r="N272" s="3">
        <v>143.5</v>
      </c>
      <c r="O272" s="3">
        <v>161.5</v>
      </c>
      <c r="P272" s="3">
        <v>155.30000000000001</v>
      </c>
      <c r="Q272" s="3">
        <v>180.9</v>
      </c>
      <c r="R272" s="3">
        <v>155.1</v>
      </c>
      <c r="S272" s="3">
        <v>149.30000000000001</v>
      </c>
      <c r="T272" s="3">
        <v>154.30000000000001</v>
      </c>
      <c r="U272" s="3" t="s">
        <v>32</v>
      </c>
      <c r="V272" s="3">
        <f t="shared" si="35"/>
        <v>155.5</v>
      </c>
      <c r="W272" s="3">
        <v>145.80000000000001</v>
      </c>
      <c r="X272" s="3">
        <v>151.9</v>
      </c>
      <c r="Y272" s="3">
        <v>158.80000000000001</v>
      </c>
      <c r="Z272" s="3">
        <v>143.6</v>
      </c>
      <c r="AA272" s="3">
        <v>152.19999999999999</v>
      </c>
      <c r="AB272" s="3">
        <v>162.69999999999999</v>
      </c>
      <c r="AC272" s="3">
        <v>153.6</v>
      </c>
      <c r="AD272" s="3">
        <v>153</v>
      </c>
      <c r="AE272" s="3">
        <v>154.69999999999999</v>
      </c>
      <c r="AF272">
        <f t="shared" si="36"/>
        <v>1978.6</v>
      </c>
      <c r="AG272">
        <f t="shared" si="37"/>
        <v>458.7</v>
      </c>
      <c r="AH272">
        <f t="shared" si="38"/>
        <v>289.39999999999998</v>
      </c>
      <c r="AI272">
        <f t="shared" si="39"/>
        <v>470.09999999999997</v>
      </c>
      <c r="AJ272">
        <f t="shared" si="40"/>
        <v>312.39999999999998</v>
      </c>
      <c r="AK272">
        <f t="shared" si="41"/>
        <v>486.1</v>
      </c>
    </row>
    <row r="273" spans="1:37" x14ac:dyDescent="0.25">
      <c r="A273" s="6" t="s">
        <v>33</v>
      </c>
      <c r="B273" s="6">
        <v>2020</v>
      </c>
      <c r="C273" s="6" t="s">
        <v>41</v>
      </c>
      <c r="D273" s="3">
        <v>151.6</v>
      </c>
      <c r="E273" s="3">
        <v>197.8</v>
      </c>
      <c r="F273" s="3">
        <v>154.5</v>
      </c>
      <c r="G273" s="3">
        <v>153.4</v>
      </c>
      <c r="H273" s="3">
        <v>133.4</v>
      </c>
      <c r="I273" s="3">
        <v>154.5</v>
      </c>
      <c r="J273" s="3">
        <v>191.9</v>
      </c>
      <c r="K273" s="3">
        <v>151.30000000000001</v>
      </c>
      <c r="L273" s="3">
        <v>116.8</v>
      </c>
      <c r="M273" s="3">
        <v>160</v>
      </c>
      <c r="N273" s="3">
        <v>136.5</v>
      </c>
      <c r="O273" s="3">
        <v>163.30000000000001</v>
      </c>
      <c r="P273" s="3">
        <v>159.9</v>
      </c>
      <c r="Q273" s="3">
        <v>187.2</v>
      </c>
      <c r="R273" s="3">
        <v>150</v>
      </c>
      <c r="S273" s="3">
        <v>135.19999999999999</v>
      </c>
      <c r="T273" s="3">
        <v>147.80000000000001</v>
      </c>
      <c r="U273" s="3">
        <v>155.5</v>
      </c>
      <c r="V273" s="3">
        <f t="shared" si="35"/>
        <v>155.5</v>
      </c>
      <c r="W273" s="3">
        <v>138.30000000000001</v>
      </c>
      <c r="X273" s="3">
        <v>144.5</v>
      </c>
      <c r="Y273" s="3">
        <v>148.69999999999999</v>
      </c>
      <c r="Z273" s="3">
        <v>133.9</v>
      </c>
      <c r="AA273" s="3">
        <v>141.19999999999999</v>
      </c>
      <c r="AB273" s="3">
        <v>155.5</v>
      </c>
      <c r="AC273" s="3">
        <v>155.19999999999999</v>
      </c>
      <c r="AD273" s="3">
        <v>144.80000000000001</v>
      </c>
      <c r="AE273" s="3">
        <v>152.9</v>
      </c>
      <c r="AF273">
        <f t="shared" si="36"/>
        <v>2024.8999999999999</v>
      </c>
      <c r="AG273">
        <f t="shared" si="37"/>
        <v>433</v>
      </c>
      <c r="AH273">
        <f t="shared" si="38"/>
        <v>272.20000000000005</v>
      </c>
      <c r="AI273">
        <f t="shared" si="39"/>
        <v>455.5</v>
      </c>
      <c r="AJ273">
        <f t="shared" si="40"/>
        <v>303.89999999999998</v>
      </c>
      <c r="AK273">
        <f t="shared" si="41"/>
        <v>473.2</v>
      </c>
    </row>
    <row r="274" spans="1:37" x14ac:dyDescent="0.25">
      <c r="A274" s="6" t="s">
        <v>34</v>
      </c>
      <c r="B274" s="6">
        <v>2020</v>
      </c>
      <c r="C274" s="6" t="s">
        <v>41</v>
      </c>
      <c r="D274" s="3">
        <v>148.9</v>
      </c>
      <c r="E274" s="3">
        <v>190.9</v>
      </c>
      <c r="F274" s="3">
        <v>150.80000000000001</v>
      </c>
      <c r="G274" s="3">
        <v>153.30000000000001</v>
      </c>
      <c r="H274" s="3">
        <v>137.4</v>
      </c>
      <c r="I274" s="3">
        <v>150.4</v>
      </c>
      <c r="J274" s="3">
        <v>178.1</v>
      </c>
      <c r="K274" s="3">
        <v>150.4</v>
      </c>
      <c r="L274" s="3">
        <v>115.1</v>
      </c>
      <c r="M274" s="3">
        <v>160</v>
      </c>
      <c r="N274" s="3">
        <v>140.6</v>
      </c>
      <c r="O274" s="3">
        <v>162.30000000000001</v>
      </c>
      <c r="P274" s="3">
        <v>157</v>
      </c>
      <c r="Q274" s="3">
        <v>182.6</v>
      </c>
      <c r="R274" s="3">
        <v>153.1</v>
      </c>
      <c r="S274" s="3">
        <v>143.4</v>
      </c>
      <c r="T274" s="3">
        <v>151.69999999999999</v>
      </c>
      <c r="U274" s="3">
        <v>155.5</v>
      </c>
      <c r="V274" s="3">
        <f t="shared" si="35"/>
        <v>155.5</v>
      </c>
      <c r="W274" s="3">
        <v>143</v>
      </c>
      <c r="X274" s="3">
        <v>148.4</v>
      </c>
      <c r="Y274" s="3">
        <v>155</v>
      </c>
      <c r="Z274" s="3">
        <v>138.5</v>
      </c>
      <c r="AA274" s="3">
        <v>146</v>
      </c>
      <c r="AB274" s="3">
        <v>158.5</v>
      </c>
      <c r="AC274" s="3">
        <v>154.30000000000001</v>
      </c>
      <c r="AD274" s="3">
        <v>149</v>
      </c>
      <c r="AE274" s="3">
        <v>153.9</v>
      </c>
      <c r="AF274">
        <f t="shared" si="36"/>
        <v>1995.1999999999998</v>
      </c>
      <c r="AG274">
        <f t="shared" si="37"/>
        <v>448.2</v>
      </c>
      <c r="AH274">
        <f t="shared" si="38"/>
        <v>281.5</v>
      </c>
      <c r="AI274">
        <f t="shared" si="39"/>
        <v>462.4</v>
      </c>
      <c r="AJ274">
        <f t="shared" si="40"/>
        <v>309.3</v>
      </c>
      <c r="AK274">
        <f t="shared" si="41"/>
        <v>477.6</v>
      </c>
    </row>
    <row r="275" spans="1:37" x14ac:dyDescent="0.25">
      <c r="A275" s="6" t="s">
        <v>30</v>
      </c>
      <c r="B275" s="6">
        <v>2020</v>
      </c>
      <c r="C275" s="6" t="s">
        <v>42</v>
      </c>
      <c r="D275" s="3">
        <v>146.9</v>
      </c>
      <c r="E275" s="3">
        <v>183.9</v>
      </c>
      <c r="F275" s="3">
        <v>149.5</v>
      </c>
      <c r="G275" s="3">
        <v>153.4</v>
      </c>
      <c r="H275" s="3">
        <v>140.4</v>
      </c>
      <c r="I275" s="3">
        <v>147</v>
      </c>
      <c r="J275" s="3">
        <v>178.8</v>
      </c>
      <c r="K275" s="3">
        <v>149.30000000000001</v>
      </c>
      <c r="L275" s="3">
        <v>115.1</v>
      </c>
      <c r="M275" s="3">
        <v>160</v>
      </c>
      <c r="N275" s="3">
        <v>145.4</v>
      </c>
      <c r="O275" s="3">
        <v>161.6</v>
      </c>
      <c r="P275" s="3">
        <v>156.1</v>
      </c>
      <c r="Q275" s="3">
        <v>182.9</v>
      </c>
      <c r="R275" s="3">
        <v>155.4</v>
      </c>
      <c r="S275" s="3">
        <v>149.9</v>
      </c>
      <c r="T275" s="3">
        <v>154.6</v>
      </c>
      <c r="U275" s="3" t="s">
        <v>32</v>
      </c>
      <c r="V275" s="3">
        <f t="shared" si="35"/>
        <v>156.30000000000001</v>
      </c>
      <c r="W275" s="3">
        <v>146.4</v>
      </c>
      <c r="X275" s="3">
        <v>151.6</v>
      </c>
      <c r="Y275" s="3">
        <v>159.1</v>
      </c>
      <c r="Z275" s="3">
        <v>144.6</v>
      </c>
      <c r="AA275" s="3">
        <v>152.80000000000001</v>
      </c>
      <c r="AB275" s="3">
        <v>161.1</v>
      </c>
      <c r="AC275" s="3">
        <v>157.4</v>
      </c>
      <c r="AD275" s="3">
        <v>153.69999999999999</v>
      </c>
      <c r="AE275" s="3">
        <v>155.4</v>
      </c>
      <c r="AF275">
        <f t="shared" si="36"/>
        <v>1987.3999999999999</v>
      </c>
      <c r="AG275">
        <f t="shared" si="37"/>
        <v>459.9</v>
      </c>
      <c r="AH275">
        <f t="shared" si="38"/>
        <v>291</v>
      </c>
      <c r="AI275">
        <f t="shared" si="39"/>
        <v>469</v>
      </c>
      <c r="AJ275">
        <f t="shared" si="40"/>
        <v>316.5</v>
      </c>
      <c r="AK275">
        <f t="shared" si="41"/>
        <v>489.40000000000003</v>
      </c>
    </row>
    <row r="276" spans="1:37" x14ac:dyDescent="0.25">
      <c r="A276" s="6" t="s">
        <v>33</v>
      </c>
      <c r="B276" s="6">
        <v>2020</v>
      </c>
      <c r="C276" s="6" t="s">
        <v>42</v>
      </c>
      <c r="D276" s="3">
        <v>151.5</v>
      </c>
      <c r="E276" s="3">
        <v>193.1</v>
      </c>
      <c r="F276" s="3">
        <v>157.30000000000001</v>
      </c>
      <c r="G276" s="3">
        <v>153.9</v>
      </c>
      <c r="H276" s="3">
        <v>134.4</v>
      </c>
      <c r="I276" s="3">
        <v>155.4</v>
      </c>
      <c r="J276" s="3">
        <v>202</v>
      </c>
      <c r="K276" s="3">
        <v>150.80000000000001</v>
      </c>
      <c r="L276" s="3">
        <v>118.9</v>
      </c>
      <c r="M276" s="3">
        <v>160.9</v>
      </c>
      <c r="N276" s="3">
        <v>137.69999999999999</v>
      </c>
      <c r="O276" s="3">
        <v>164.4</v>
      </c>
      <c r="P276" s="3">
        <v>161.30000000000001</v>
      </c>
      <c r="Q276" s="3">
        <v>188.7</v>
      </c>
      <c r="R276" s="3">
        <v>150.19999999999999</v>
      </c>
      <c r="S276" s="3">
        <v>136.30000000000001</v>
      </c>
      <c r="T276" s="3">
        <v>148.1</v>
      </c>
      <c r="U276" s="3">
        <v>156.30000000000001</v>
      </c>
      <c r="V276" s="3">
        <f t="shared" si="35"/>
        <v>156.30000000000001</v>
      </c>
      <c r="W276" s="3">
        <v>137.19999999999999</v>
      </c>
      <c r="X276" s="3">
        <v>145.4</v>
      </c>
      <c r="Y276" s="3">
        <v>150</v>
      </c>
      <c r="Z276" s="3">
        <v>135.1</v>
      </c>
      <c r="AA276" s="3">
        <v>141.80000000000001</v>
      </c>
      <c r="AB276" s="3">
        <v>154.9</v>
      </c>
      <c r="AC276" s="3">
        <v>159.80000000000001</v>
      </c>
      <c r="AD276" s="3">
        <v>146</v>
      </c>
      <c r="AE276" s="3">
        <v>154</v>
      </c>
      <c r="AF276">
        <f t="shared" si="36"/>
        <v>2041.6000000000001</v>
      </c>
      <c r="AG276">
        <f t="shared" si="37"/>
        <v>434.6</v>
      </c>
      <c r="AH276">
        <f t="shared" si="38"/>
        <v>272.29999999999995</v>
      </c>
      <c r="AI276">
        <f t="shared" si="39"/>
        <v>456.6</v>
      </c>
      <c r="AJ276">
        <f t="shared" si="40"/>
        <v>309.8</v>
      </c>
      <c r="AK276">
        <f t="shared" si="41"/>
        <v>476.5</v>
      </c>
    </row>
    <row r="277" spans="1:37" x14ac:dyDescent="0.25">
      <c r="A277" s="6" t="s">
        <v>34</v>
      </c>
      <c r="B277" s="6">
        <v>2020</v>
      </c>
      <c r="C277" s="6" t="s">
        <v>42</v>
      </c>
      <c r="D277" s="3">
        <v>148.4</v>
      </c>
      <c r="E277" s="3">
        <v>187.1</v>
      </c>
      <c r="F277" s="3">
        <v>152.5</v>
      </c>
      <c r="G277" s="3">
        <v>153.6</v>
      </c>
      <c r="H277" s="3">
        <v>138.19999999999999</v>
      </c>
      <c r="I277" s="3">
        <v>150.9</v>
      </c>
      <c r="J277" s="3">
        <v>186.7</v>
      </c>
      <c r="K277" s="3">
        <v>149.80000000000001</v>
      </c>
      <c r="L277" s="3">
        <v>116.4</v>
      </c>
      <c r="M277" s="3">
        <v>160.30000000000001</v>
      </c>
      <c r="N277" s="3">
        <v>142.19999999999999</v>
      </c>
      <c r="O277" s="3">
        <v>162.9</v>
      </c>
      <c r="P277" s="3">
        <v>158</v>
      </c>
      <c r="Q277" s="3">
        <v>184.4</v>
      </c>
      <c r="R277" s="3">
        <v>153.4</v>
      </c>
      <c r="S277" s="3">
        <v>144.30000000000001</v>
      </c>
      <c r="T277" s="3">
        <v>152</v>
      </c>
      <c r="U277" s="3">
        <v>156.30000000000001</v>
      </c>
      <c r="V277" s="3">
        <f t="shared" si="35"/>
        <v>156.30000000000001</v>
      </c>
      <c r="W277" s="3">
        <v>142.9</v>
      </c>
      <c r="X277" s="3">
        <v>148.69999999999999</v>
      </c>
      <c r="Y277" s="3">
        <v>155.6</v>
      </c>
      <c r="Z277" s="3">
        <v>139.6</v>
      </c>
      <c r="AA277" s="3">
        <v>146.6</v>
      </c>
      <c r="AB277" s="3">
        <v>157.5</v>
      </c>
      <c r="AC277" s="3">
        <v>158.4</v>
      </c>
      <c r="AD277" s="3">
        <v>150</v>
      </c>
      <c r="AE277" s="3">
        <v>154.69999999999999</v>
      </c>
      <c r="AF277">
        <f t="shared" si="36"/>
        <v>2007</v>
      </c>
      <c r="AG277">
        <f t="shared" si="37"/>
        <v>449.70000000000005</v>
      </c>
      <c r="AH277">
        <f t="shared" si="38"/>
        <v>282.5</v>
      </c>
      <c r="AI277">
        <f t="shared" si="39"/>
        <v>462.5</v>
      </c>
      <c r="AJ277">
        <f t="shared" si="40"/>
        <v>314</v>
      </c>
      <c r="AK277">
        <f t="shared" si="41"/>
        <v>481</v>
      </c>
    </row>
    <row r="278" spans="1:37" x14ac:dyDescent="0.25">
      <c r="A278" s="6" t="s">
        <v>30</v>
      </c>
      <c r="B278" s="6">
        <v>2020</v>
      </c>
      <c r="C278" s="6" t="s">
        <v>43</v>
      </c>
      <c r="D278" s="3">
        <v>146</v>
      </c>
      <c r="E278" s="3">
        <v>186.3</v>
      </c>
      <c r="F278" s="3">
        <v>159.19999999999999</v>
      </c>
      <c r="G278" s="3">
        <v>153.6</v>
      </c>
      <c r="H278" s="3">
        <v>142.6</v>
      </c>
      <c r="I278" s="3">
        <v>147.19999999999999</v>
      </c>
      <c r="J278" s="3">
        <v>200.6</v>
      </c>
      <c r="K278" s="3">
        <v>150.30000000000001</v>
      </c>
      <c r="L278" s="3">
        <v>115.3</v>
      </c>
      <c r="M278" s="3">
        <v>160.9</v>
      </c>
      <c r="N278" s="3">
        <v>147.4</v>
      </c>
      <c r="O278" s="3">
        <v>161.9</v>
      </c>
      <c r="P278" s="3">
        <v>159.6</v>
      </c>
      <c r="Q278" s="3">
        <v>182.7</v>
      </c>
      <c r="R278" s="3">
        <v>155.69999999999999</v>
      </c>
      <c r="S278" s="3">
        <v>150.6</v>
      </c>
      <c r="T278" s="3">
        <v>155</v>
      </c>
      <c r="U278" s="3" t="s">
        <v>32</v>
      </c>
      <c r="V278" s="3">
        <f t="shared" si="35"/>
        <v>156.5</v>
      </c>
      <c r="W278" s="3">
        <v>146.80000000000001</v>
      </c>
      <c r="X278" s="3">
        <v>152</v>
      </c>
      <c r="Y278" s="3">
        <v>159.5</v>
      </c>
      <c r="Z278" s="3">
        <v>146.4</v>
      </c>
      <c r="AA278" s="3">
        <v>152.4</v>
      </c>
      <c r="AB278" s="3">
        <v>162.5</v>
      </c>
      <c r="AC278" s="3">
        <v>156.19999999999999</v>
      </c>
      <c r="AD278" s="3">
        <v>154.30000000000001</v>
      </c>
      <c r="AE278" s="3">
        <v>157.5</v>
      </c>
      <c r="AF278">
        <f t="shared" si="36"/>
        <v>2030.9</v>
      </c>
      <c r="AG278">
        <f t="shared" si="37"/>
        <v>461.29999999999995</v>
      </c>
      <c r="AH278">
        <f t="shared" si="38"/>
        <v>293.20000000000005</v>
      </c>
      <c r="AI278">
        <f t="shared" si="39"/>
        <v>471</v>
      </c>
      <c r="AJ278">
        <f t="shared" si="40"/>
        <v>315.7</v>
      </c>
      <c r="AK278">
        <f t="shared" si="41"/>
        <v>489.40000000000003</v>
      </c>
    </row>
    <row r="279" spans="1:37" x14ac:dyDescent="0.25">
      <c r="A279" s="6" t="s">
        <v>33</v>
      </c>
      <c r="B279" s="6">
        <v>2020</v>
      </c>
      <c r="C279" s="6" t="s">
        <v>43</v>
      </c>
      <c r="D279" s="3">
        <v>150.6</v>
      </c>
      <c r="E279" s="3">
        <v>193.7</v>
      </c>
      <c r="F279" s="3">
        <v>164.8</v>
      </c>
      <c r="G279" s="3">
        <v>153.69999999999999</v>
      </c>
      <c r="H279" s="3">
        <v>135.69999999999999</v>
      </c>
      <c r="I279" s="3">
        <v>155.69999999999999</v>
      </c>
      <c r="J279" s="3">
        <v>226</v>
      </c>
      <c r="K279" s="3">
        <v>152.19999999999999</v>
      </c>
      <c r="L279" s="3">
        <v>118.1</v>
      </c>
      <c r="M279" s="3">
        <v>161.30000000000001</v>
      </c>
      <c r="N279" s="3">
        <v>139.19999999999999</v>
      </c>
      <c r="O279" s="3">
        <v>164.8</v>
      </c>
      <c r="P279" s="3">
        <v>164.4</v>
      </c>
      <c r="Q279" s="3">
        <v>188.7</v>
      </c>
      <c r="R279" s="3">
        <v>150.5</v>
      </c>
      <c r="S279" s="3">
        <v>136.1</v>
      </c>
      <c r="T279" s="3">
        <v>148.30000000000001</v>
      </c>
      <c r="U279" s="3">
        <v>156.5</v>
      </c>
      <c r="V279" s="3">
        <f t="shared" si="35"/>
        <v>156.5</v>
      </c>
      <c r="W279" s="3">
        <v>137.1</v>
      </c>
      <c r="X279" s="3">
        <v>145.1</v>
      </c>
      <c r="Y279" s="3">
        <v>151</v>
      </c>
      <c r="Z279" s="3">
        <v>135.4</v>
      </c>
      <c r="AA279" s="3">
        <v>142</v>
      </c>
      <c r="AB279" s="3">
        <v>155.69999999999999</v>
      </c>
      <c r="AC279" s="3">
        <v>158.1</v>
      </c>
      <c r="AD279" s="3">
        <v>146.19999999999999</v>
      </c>
      <c r="AE279" s="3">
        <v>155.19999999999999</v>
      </c>
      <c r="AF279">
        <f t="shared" si="36"/>
        <v>2080.1999999999998</v>
      </c>
      <c r="AG279">
        <f t="shared" si="37"/>
        <v>434.90000000000003</v>
      </c>
      <c r="AH279">
        <f t="shared" si="38"/>
        <v>272.5</v>
      </c>
      <c r="AI279">
        <f t="shared" si="39"/>
        <v>457.3</v>
      </c>
      <c r="AJ279">
        <f t="shared" si="40"/>
        <v>309.10000000000002</v>
      </c>
      <c r="AK279">
        <f t="shared" si="41"/>
        <v>476.9</v>
      </c>
    </row>
    <row r="280" spans="1:37" x14ac:dyDescent="0.25">
      <c r="A280" s="6" t="s">
        <v>34</v>
      </c>
      <c r="B280" s="6">
        <v>2020</v>
      </c>
      <c r="C280" s="6" t="s">
        <v>43</v>
      </c>
      <c r="D280" s="3">
        <v>147.5</v>
      </c>
      <c r="E280" s="3">
        <v>188.9</v>
      </c>
      <c r="F280" s="3">
        <v>161.4</v>
      </c>
      <c r="G280" s="3">
        <v>153.6</v>
      </c>
      <c r="H280" s="3">
        <v>140.1</v>
      </c>
      <c r="I280" s="3">
        <v>151.19999999999999</v>
      </c>
      <c r="J280" s="3">
        <v>209.2</v>
      </c>
      <c r="K280" s="3">
        <v>150.9</v>
      </c>
      <c r="L280" s="3">
        <v>116.2</v>
      </c>
      <c r="M280" s="3">
        <v>161</v>
      </c>
      <c r="N280" s="3">
        <v>144</v>
      </c>
      <c r="O280" s="3">
        <v>163.19999999999999</v>
      </c>
      <c r="P280" s="3">
        <v>161.4</v>
      </c>
      <c r="Q280" s="3">
        <v>184.3</v>
      </c>
      <c r="R280" s="3">
        <v>153.69999999999999</v>
      </c>
      <c r="S280" s="3">
        <v>144.6</v>
      </c>
      <c r="T280" s="3">
        <v>152.30000000000001</v>
      </c>
      <c r="U280" s="3">
        <v>156.5</v>
      </c>
      <c r="V280" s="3">
        <f t="shared" si="35"/>
        <v>156.5</v>
      </c>
      <c r="W280" s="3">
        <v>143.1</v>
      </c>
      <c r="X280" s="3">
        <v>148.69999999999999</v>
      </c>
      <c r="Y280" s="3">
        <v>156.30000000000001</v>
      </c>
      <c r="Z280" s="3">
        <v>140.6</v>
      </c>
      <c r="AA280" s="3">
        <v>146.5</v>
      </c>
      <c r="AB280" s="3">
        <v>158.5</v>
      </c>
      <c r="AC280" s="3">
        <v>157</v>
      </c>
      <c r="AD280" s="3">
        <v>150.4</v>
      </c>
      <c r="AE280" s="3">
        <v>156.4</v>
      </c>
      <c r="AF280">
        <f t="shared" si="36"/>
        <v>2048.6000000000004</v>
      </c>
      <c r="AG280">
        <f t="shared" si="37"/>
        <v>450.59999999999997</v>
      </c>
      <c r="AH280">
        <f t="shared" si="38"/>
        <v>283.7</v>
      </c>
      <c r="AI280">
        <f t="shared" si="39"/>
        <v>463.7</v>
      </c>
      <c r="AJ280">
        <f t="shared" si="40"/>
        <v>313.3</v>
      </c>
      <c r="AK280">
        <f t="shared" si="41"/>
        <v>481.20000000000005</v>
      </c>
    </row>
    <row r="281" spans="1:37" x14ac:dyDescent="0.25">
      <c r="A281" s="6" t="s">
        <v>30</v>
      </c>
      <c r="B281" s="6">
        <v>2020</v>
      </c>
      <c r="C281" s="6" t="s">
        <v>45</v>
      </c>
      <c r="D281" s="3">
        <v>145.4</v>
      </c>
      <c r="E281" s="3">
        <v>188.6</v>
      </c>
      <c r="F281" s="3">
        <v>171.6</v>
      </c>
      <c r="G281" s="3">
        <v>153.80000000000001</v>
      </c>
      <c r="H281" s="3">
        <v>145.4</v>
      </c>
      <c r="I281" s="3">
        <v>146.5</v>
      </c>
      <c r="J281" s="3">
        <v>222.2</v>
      </c>
      <c r="K281" s="3">
        <v>155.9</v>
      </c>
      <c r="L281" s="3">
        <v>114.9</v>
      </c>
      <c r="M281" s="3">
        <v>162</v>
      </c>
      <c r="N281" s="3">
        <v>150</v>
      </c>
      <c r="O281" s="3">
        <v>162.69999999999999</v>
      </c>
      <c r="P281" s="3">
        <v>163.4</v>
      </c>
      <c r="Q281" s="3">
        <v>183.4</v>
      </c>
      <c r="R281" s="3">
        <v>156.30000000000001</v>
      </c>
      <c r="S281" s="3">
        <v>151</v>
      </c>
      <c r="T281" s="3">
        <v>155.5</v>
      </c>
      <c r="U281" s="3" t="s">
        <v>32</v>
      </c>
      <c r="V281" s="3">
        <f t="shared" si="35"/>
        <v>158</v>
      </c>
      <c r="W281" s="3">
        <v>147.5</v>
      </c>
      <c r="X281" s="3">
        <v>152.80000000000001</v>
      </c>
      <c r="Y281" s="3">
        <v>160.4</v>
      </c>
      <c r="Z281" s="3">
        <v>146.1</v>
      </c>
      <c r="AA281" s="3">
        <v>153.6</v>
      </c>
      <c r="AB281" s="3">
        <v>161.6</v>
      </c>
      <c r="AC281" s="3">
        <v>156.19999999999999</v>
      </c>
      <c r="AD281" s="3">
        <v>154.5</v>
      </c>
      <c r="AE281" s="3">
        <v>159.80000000000001</v>
      </c>
      <c r="AF281">
        <f t="shared" si="36"/>
        <v>2082.4</v>
      </c>
      <c r="AG281">
        <f t="shared" si="37"/>
        <v>462.8</v>
      </c>
      <c r="AH281">
        <f t="shared" si="38"/>
        <v>293.60000000000002</v>
      </c>
      <c r="AI281">
        <f t="shared" si="39"/>
        <v>472.4</v>
      </c>
      <c r="AJ281">
        <f t="shared" si="40"/>
        <v>316.60000000000002</v>
      </c>
      <c r="AK281">
        <f t="shared" si="41"/>
        <v>491.5</v>
      </c>
    </row>
    <row r="282" spans="1:37" x14ac:dyDescent="0.25">
      <c r="A282" s="6" t="s">
        <v>33</v>
      </c>
      <c r="B282" s="6">
        <v>2020</v>
      </c>
      <c r="C282" s="6" t="s">
        <v>45</v>
      </c>
      <c r="D282" s="3">
        <v>149.69999999999999</v>
      </c>
      <c r="E282" s="3">
        <v>195.5</v>
      </c>
      <c r="F282" s="3">
        <v>176.9</v>
      </c>
      <c r="G282" s="3">
        <v>153.9</v>
      </c>
      <c r="H282" s="3">
        <v>138</v>
      </c>
      <c r="I282" s="3">
        <v>150.5</v>
      </c>
      <c r="J282" s="3">
        <v>245.3</v>
      </c>
      <c r="K282" s="3">
        <v>158.69999999999999</v>
      </c>
      <c r="L282" s="3">
        <v>117.2</v>
      </c>
      <c r="M282" s="3">
        <v>161.4</v>
      </c>
      <c r="N282" s="3">
        <v>141.5</v>
      </c>
      <c r="O282" s="3">
        <v>165.1</v>
      </c>
      <c r="P282" s="3">
        <v>167</v>
      </c>
      <c r="Q282" s="3">
        <v>188.8</v>
      </c>
      <c r="R282" s="3">
        <v>151.1</v>
      </c>
      <c r="S282" s="3">
        <v>136.4</v>
      </c>
      <c r="T282" s="3">
        <v>148.80000000000001</v>
      </c>
      <c r="U282" s="3">
        <v>158</v>
      </c>
      <c r="V282" s="3">
        <f t="shared" si="35"/>
        <v>158</v>
      </c>
      <c r="W282" s="3">
        <v>137.30000000000001</v>
      </c>
      <c r="X282" s="3">
        <v>145.1</v>
      </c>
      <c r="Y282" s="3">
        <v>152</v>
      </c>
      <c r="Z282" s="3">
        <v>135.19999999999999</v>
      </c>
      <c r="AA282" s="3">
        <v>144.4</v>
      </c>
      <c r="AB282" s="3">
        <v>156.4</v>
      </c>
      <c r="AC282" s="3">
        <v>157.9</v>
      </c>
      <c r="AD282" s="3">
        <v>146.6</v>
      </c>
      <c r="AE282" s="3">
        <v>156.69999999999999</v>
      </c>
      <c r="AF282">
        <f t="shared" si="36"/>
        <v>2120.6999999999998</v>
      </c>
      <c r="AG282">
        <f t="shared" si="37"/>
        <v>436.3</v>
      </c>
      <c r="AH282">
        <f t="shared" si="38"/>
        <v>272.5</v>
      </c>
      <c r="AI282">
        <f t="shared" si="39"/>
        <v>459.5</v>
      </c>
      <c r="AJ282">
        <f t="shared" si="40"/>
        <v>309.89999999999998</v>
      </c>
      <c r="AK282">
        <f t="shared" si="41"/>
        <v>479.80000000000007</v>
      </c>
    </row>
    <row r="283" spans="1:37" x14ac:dyDescent="0.25">
      <c r="A283" s="6" t="s">
        <v>34</v>
      </c>
      <c r="B283" s="6">
        <v>2020</v>
      </c>
      <c r="C283" s="6" t="s">
        <v>45</v>
      </c>
      <c r="D283" s="3">
        <v>146.80000000000001</v>
      </c>
      <c r="E283" s="3">
        <v>191</v>
      </c>
      <c r="F283" s="3">
        <v>173.6</v>
      </c>
      <c r="G283" s="3">
        <v>153.80000000000001</v>
      </c>
      <c r="H283" s="3">
        <v>142.69999999999999</v>
      </c>
      <c r="I283" s="3">
        <v>148.4</v>
      </c>
      <c r="J283" s="3">
        <v>230</v>
      </c>
      <c r="K283" s="3">
        <v>156.80000000000001</v>
      </c>
      <c r="L283" s="3">
        <v>115.7</v>
      </c>
      <c r="M283" s="3">
        <v>161.80000000000001</v>
      </c>
      <c r="N283" s="3">
        <v>146.5</v>
      </c>
      <c r="O283" s="3">
        <v>163.80000000000001</v>
      </c>
      <c r="P283" s="3">
        <v>164.7</v>
      </c>
      <c r="Q283" s="3">
        <v>184.8</v>
      </c>
      <c r="R283" s="3">
        <v>154.30000000000001</v>
      </c>
      <c r="S283" s="3">
        <v>144.9</v>
      </c>
      <c r="T283" s="3">
        <v>152.80000000000001</v>
      </c>
      <c r="U283" s="3">
        <v>158</v>
      </c>
      <c r="V283" s="3">
        <f t="shared" si="35"/>
        <v>158</v>
      </c>
      <c r="W283" s="3">
        <v>143.6</v>
      </c>
      <c r="X283" s="3">
        <v>149.19999999999999</v>
      </c>
      <c r="Y283" s="3">
        <v>157.19999999999999</v>
      </c>
      <c r="Z283" s="3">
        <v>140.4</v>
      </c>
      <c r="AA283" s="3">
        <v>148.4</v>
      </c>
      <c r="AB283" s="3">
        <v>158.6</v>
      </c>
      <c r="AC283" s="3">
        <v>156.9</v>
      </c>
      <c r="AD283" s="3">
        <v>150.69999999999999</v>
      </c>
      <c r="AE283" s="3">
        <v>158.4</v>
      </c>
      <c r="AF283">
        <f t="shared" si="36"/>
        <v>2095.6</v>
      </c>
      <c r="AG283">
        <f t="shared" si="37"/>
        <v>452.00000000000006</v>
      </c>
      <c r="AH283">
        <f t="shared" si="38"/>
        <v>284</v>
      </c>
      <c r="AI283">
        <f t="shared" si="39"/>
        <v>465.79999999999995</v>
      </c>
      <c r="AJ283">
        <f t="shared" si="40"/>
        <v>314.10000000000002</v>
      </c>
      <c r="AK283">
        <f t="shared" si="41"/>
        <v>483.90000000000003</v>
      </c>
    </row>
    <row r="284" spans="1:37" x14ac:dyDescent="0.25">
      <c r="A284" s="6" t="s">
        <v>30</v>
      </c>
      <c r="B284" s="6">
        <v>2020</v>
      </c>
      <c r="C284" s="6" t="s">
        <v>46</v>
      </c>
      <c r="D284" s="3">
        <v>144.6</v>
      </c>
      <c r="E284" s="3">
        <v>188.5</v>
      </c>
      <c r="F284" s="3">
        <v>173.4</v>
      </c>
      <c r="G284" s="3">
        <v>154</v>
      </c>
      <c r="H284" s="3">
        <v>150</v>
      </c>
      <c r="I284" s="3">
        <v>145.9</v>
      </c>
      <c r="J284" s="3">
        <v>225.2</v>
      </c>
      <c r="K284" s="3">
        <v>159.5</v>
      </c>
      <c r="L284" s="3">
        <v>114.4</v>
      </c>
      <c r="M284" s="3">
        <v>163.5</v>
      </c>
      <c r="N284" s="3">
        <v>153.4</v>
      </c>
      <c r="O284" s="3">
        <v>163.6</v>
      </c>
      <c r="P284" s="3">
        <v>164.5</v>
      </c>
      <c r="Q284" s="3">
        <v>183.6</v>
      </c>
      <c r="R284" s="3">
        <v>157</v>
      </c>
      <c r="S284" s="3">
        <v>151.6</v>
      </c>
      <c r="T284" s="3">
        <v>156.30000000000001</v>
      </c>
      <c r="U284" s="3" t="s">
        <v>32</v>
      </c>
      <c r="V284" s="3">
        <f t="shared" si="35"/>
        <v>158.4</v>
      </c>
      <c r="W284" s="3">
        <v>148.69999999999999</v>
      </c>
      <c r="X284" s="3">
        <v>153.4</v>
      </c>
      <c r="Y284" s="3">
        <v>161.6</v>
      </c>
      <c r="Z284" s="3">
        <v>146.4</v>
      </c>
      <c r="AA284" s="3">
        <v>153.9</v>
      </c>
      <c r="AB284" s="3">
        <v>162.9</v>
      </c>
      <c r="AC284" s="3">
        <v>156.6</v>
      </c>
      <c r="AD284" s="3">
        <v>155.19999999999999</v>
      </c>
      <c r="AE284" s="3">
        <v>160.69999999999999</v>
      </c>
      <c r="AF284">
        <f t="shared" si="36"/>
        <v>2100.5</v>
      </c>
      <c r="AG284">
        <f t="shared" si="37"/>
        <v>464.90000000000003</v>
      </c>
      <c r="AH284">
        <f t="shared" si="38"/>
        <v>295.10000000000002</v>
      </c>
      <c r="AI284">
        <f t="shared" si="39"/>
        <v>474.70000000000005</v>
      </c>
      <c r="AJ284">
        <f t="shared" si="40"/>
        <v>318.2</v>
      </c>
      <c r="AK284">
        <f t="shared" si="41"/>
        <v>492.7</v>
      </c>
    </row>
    <row r="285" spans="1:37" x14ac:dyDescent="0.25">
      <c r="A285" s="6" t="s">
        <v>33</v>
      </c>
      <c r="B285" s="6">
        <v>2020</v>
      </c>
      <c r="C285" s="6" t="s">
        <v>46</v>
      </c>
      <c r="D285" s="3">
        <v>149</v>
      </c>
      <c r="E285" s="3">
        <v>195.7</v>
      </c>
      <c r="F285" s="3">
        <v>178.3</v>
      </c>
      <c r="G285" s="3">
        <v>154.19999999999999</v>
      </c>
      <c r="H285" s="3">
        <v>140.69999999999999</v>
      </c>
      <c r="I285" s="3">
        <v>149.69999999999999</v>
      </c>
      <c r="J285" s="3">
        <v>240.9</v>
      </c>
      <c r="K285" s="3">
        <v>161.5</v>
      </c>
      <c r="L285" s="3">
        <v>117.1</v>
      </c>
      <c r="M285" s="3">
        <v>161.9</v>
      </c>
      <c r="N285" s="3">
        <v>143.30000000000001</v>
      </c>
      <c r="O285" s="3">
        <v>166.1</v>
      </c>
      <c r="P285" s="3">
        <v>167</v>
      </c>
      <c r="Q285" s="3">
        <v>190.2</v>
      </c>
      <c r="R285" s="3">
        <v>151.9</v>
      </c>
      <c r="S285" s="3">
        <v>136.69999999999999</v>
      </c>
      <c r="T285" s="3">
        <v>149.6</v>
      </c>
      <c r="U285" s="3">
        <v>158.4</v>
      </c>
      <c r="V285" s="3">
        <f t="shared" si="35"/>
        <v>158.4</v>
      </c>
      <c r="W285" s="3">
        <v>137.9</v>
      </c>
      <c r="X285" s="3">
        <v>145.5</v>
      </c>
      <c r="Y285" s="3">
        <v>152.9</v>
      </c>
      <c r="Z285" s="3">
        <v>135.5</v>
      </c>
      <c r="AA285" s="3">
        <v>144.30000000000001</v>
      </c>
      <c r="AB285" s="3">
        <v>156.9</v>
      </c>
      <c r="AC285" s="3">
        <v>157.9</v>
      </c>
      <c r="AD285" s="3">
        <v>146.9</v>
      </c>
      <c r="AE285" s="3">
        <v>156.9</v>
      </c>
      <c r="AF285">
        <f t="shared" si="36"/>
        <v>2125.4</v>
      </c>
      <c r="AG285">
        <f t="shared" si="37"/>
        <v>438.20000000000005</v>
      </c>
      <c r="AH285">
        <f t="shared" si="38"/>
        <v>273.39999999999998</v>
      </c>
      <c r="AI285">
        <f t="shared" si="39"/>
        <v>460.79999999999995</v>
      </c>
      <c r="AJ285">
        <f t="shared" si="40"/>
        <v>310.8</v>
      </c>
      <c r="AK285">
        <f t="shared" si="41"/>
        <v>481.4</v>
      </c>
    </row>
    <row r="286" spans="1:37" x14ac:dyDescent="0.25">
      <c r="A286" s="6" t="s">
        <v>34</v>
      </c>
      <c r="B286" s="6">
        <v>2020</v>
      </c>
      <c r="C286" s="6" t="s">
        <v>46</v>
      </c>
      <c r="D286" s="3">
        <v>146</v>
      </c>
      <c r="E286" s="3">
        <v>191</v>
      </c>
      <c r="F286" s="3">
        <v>175.3</v>
      </c>
      <c r="G286" s="3">
        <v>154.1</v>
      </c>
      <c r="H286" s="3">
        <v>146.6</v>
      </c>
      <c r="I286" s="3">
        <v>147.69999999999999</v>
      </c>
      <c r="J286" s="3">
        <v>230.5</v>
      </c>
      <c r="K286" s="3">
        <v>160.19999999999999</v>
      </c>
      <c r="L286" s="3">
        <v>115.3</v>
      </c>
      <c r="M286" s="3">
        <v>163</v>
      </c>
      <c r="N286" s="3">
        <v>149.19999999999999</v>
      </c>
      <c r="O286" s="3">
        <v>164.8</v>
      </c>
      <c r="P286" s="3">
        <v>165.4</v>
      </c>
      <c r="Q286" s="3">
        <v>185.4</v>
      </c>
      <c r="R286" s="3">
        <v>155</v>
      </c>
      <c r="S286" s="3">
        <v>145.4</v>
      </c>
      <c r="T286" s="3">
        <v>153.6</v>
      </c>
      <c r="U286" s="3">
        <v>158.4</v>
      </c>
      <c r="V286" s="3">
        <f t="shared" si="35"/>
        <v>158.4</v>
      </c>
      <c r="W286" s="3">
        <v>144.6</v>
      </c>
      <c r="X286" s="3">
        <v>149.69999999999999</v>
      </c>
      <c r="Y286" s="3">
        <v>158.30000000000001</v>
      </c>
      <c r="Z286" s="3">
        <v>140.69999999999999</v>
      </c>
      <c r="AA286" s="3">
        <v>148.5</v>
      </c>
      <c r="AB286" s="3">
        <v>159.4</v>
      </c>
      <c r="AC286" s="3">
        <v>157.1</v>
      </c>
      <c r="AD286" s="3">
        <v>151.19999999999999</v>
      </c>
      <c r="AE286" s="3">
        <v>158.9</v>
      </c>
      <c r="AF286">
        <f t="shared" si="36"/>
        <v>2109.1</v>
      </c>
      <c r="AG286">
        <f t="shared" si="37"/>
        <v>454</v>
      </c>
      <c r="AH286">
        <f t="shared" si="38"/>
        <v>285.29999999999995</v>
      </c>
      <c r="AI286">
        <f t="shared" si="39"/>
        <v>467.5</v>
      </c>
      <c r="AJ286">
        <f t="shared" si="40"/>
        <v>315.39999999999998</v>
      </c>
      <c r="AK286">
        <f t="shared" si="41"/>
        <v>485.09999999999997</v>
      </c>
    </row>
    <row r="287" spans="1:37" x14ac:dyDescent="0.25">
      <c r="A287" s="6" t="s">
        <v>30</v>
      </c>
      <c r="B287" s="6">
        <v>2021</v>
      </c>
      <c r="C287" s="6" t="s">
        <v>31</v>
      </c>
      <c r="D287" s="3">
        <v>143.4</v>
      </c>
      <c r="E287" s="3">
        <v>187.5</v>
      </c>
      <c r="F287" s="3">
        <v>173.4</v>
      </c>
      <c r="G287" s="3">
        <v>154</v>
      </c>
      <c r="H287" s="3">
        <v>154.80000000000001</v>
      </c>
      <c r="I287" s="3">
        <v>147</v>
      </c>
      <c r="J287" s="3">
        <v>187.8</v>
      </c>
      <c r="K287" s="3">
        <v>159.5</v>
      </c>
      <c r="L287" s="3">
        <v>113.8</v>
      </c>
      <c r="M287" s="3">
        <v>164.5</v>
      </c>
      <c r="N287" s="3">
        <v>156.1</v>
      </c>
      <c r="O287" s="3">
        <v>164.3</v>
      </c>
      <c r="P287" s="3">
        <v>159.6</v>
      </c>
      <c r="Q287" s="3">
        <v>184.6</v>
      </c>
      <c r="R287" s="3">
        <v>157.5</v>
      </c>
      <c r="S287" s="3">
        <v>152.4</v>
      </c>
      <c r="T287" s="3">
        <v>156.80000000000001</v>
      </c>
      <c r="U287" s="3" t="s">
        <v>32</v>
      </c>
      <c r="V287" s="3">
        <f t="shared" si="35"/>
        <v>157.69999999999999</v>
      </c>
      <c r="W287" s="3">
        <v>150.9</v>
      </c>
      <c r="X287" s="3">
        <v>153.9</v>
      </c>
      <c r="Y287" s="3">
        <v>162.5</v>
      </c>
      <c r="Z287" s="3">
        <v>147.5</v>
      </c>
      <c r="AA287" s="3">
        <v>155.1</v>
      </c>
      <c r="AB287" s="3">
        <v>163.5</v>
      </c>
      <c r="AC287" s="3">
        <v>156.19999999999999</v>
      </c>
      <c r="AD287" s="3">
        <v>155.9</v>
      </c>
      <c r="AE287" s="3">
        <v>158.5</v>
      </c>
      <c r="AF287">
        <f t="shared" si="36"/>
        <v>2065.6999999999998</v>
      </c>
      <c r="AG287">
        <f t="shared" si="37"/>
        <v>466.7</v>
      </c>
      <c r="AH287">
        <f t="shared" si="38"/>
        <v>298.39999999999998</v>
      </c>
      <c r="AI287">
        <f t="shared" si="39"/>
        <v>475.1</v>
      </c>
      <c r="AJ287">
        <f t="shared" si="40"/>
        <v>318.7</v>
      </c>
      <c r="AK287">
        <f t="shared" si="41"/>
        <v>495.6</v>
      </c>
    </row>
    <row r="288" spans="1:37" x14ac:dyDescent="0.25">
      <c r="A288" s="6" t="s">
        <v>33</v>
      </c>
      <c r="B288" s="6">
        <v>2021</v>
      </c>
      <c r="C288" s="6" t="s">
        <v>31</v>
      </c>
      <c r="D288" s="3">
        <v>148</v>
      </c>
      <c r="E288" s="3">
        <v>194.8</v>
      </c>
      <c r="F288" s="3">
        <v>178.4</v>
      </c>
      <c r="G288" s="3">
        <v>154.4</v>
      </c>
      <c r="H288" s="3">
        <v>144.1</v>
      </c>
      <c r="I288" s="3">
        <v>152.6</v>
      </c>
      <c r="J288" s="3">
        <v>206.8</v>
      </c>
      <c r="K288" s="3">
        <v>162.1</v>
      </c>
      <c r="L288" s="3">
        <v>116.3</v>
      </c>
      <c r="M288" s="3">
        <v>163</v>
      </c>
      <c r="N288" s="3">
        <v>145.9</v>
      </c>
      <c r="O288" s="3">
        <v>167.2</v>
      </c>
      <c r="P288" s="3">
        <v>163.4</v>
      </c>
      <c r="Q288" s="3">
        <v>191.8</v>
      </c>
      <c r="R288" s="3">
        <v>152.5</v>
      </c>
      <c r="S288" s="3">
        <v>137.30000000000001</v>
      </c>
      <c r="T288" s="3">
        <v>150.19999999999999</v>
      </c>
      <c r="U288" s="3">
        <v>157.69999999999999</v>
      </c>
      <c r="V288" s="3">
        <f t="shared" si="35"/>
        <v>157.69999999999999</v>
      </c>
      <c r="W288" s="3">
        <v>142.9</v>
      </c>
      <c r="X288" s="3">
        <v>145.69999999999999</v>
      </c>
      <c r="Y288" s="3">
        <v>154.1</v>
      </c>
      <c r="Z288" s="3">
        <v>136.9</v>
      </c>
      <c r="AA288" s="3">
        <v>145.4</v>
      </c>
      <c r="AB288" s="3">
        <v>156.1</v>
      </c>
      <c r="AC288" s="3">
        <v>157.69999999999999</v>
      </c>
      <c r="AD288" s="3">
        <v>147.6</v>
      </c>
      <c r="AE288" s="3">
        <v>156</v>
      </c>
      <c r="AF288">
        <f t="shared" si="36"/>
        <v>2097</v>
      </c>
      <c r="AG288">
        <f t="shared" si="37"/>
        <v>440</v>
      </c>
      <c r="AH288">
        <f t="shared" si="38"/>
        <v>279.8</v>
      </c>
      <c r="AI288">
        <f t="shared" si="39"/>
        <v>459.5</v>
      </c>
      <c r="AJ288">
        <f t="shared" si="40"/>
        <v>311.79999999999995</v>
      </c>
      <c r="AK288">
        <f t="shared" si="41"/>
        <v>484.80000000000007</v>
      </c>
    </row>
    <row r="289" spans="1:37" x14ac:dyDescent="0.25">
      <c r="A289" s="6" t="s">
        <v>34</v>
      </c>
      <c r="B289" s="6">
        <v>2021</v>
      </c>
      <c r="C289" s="6" t="s">
        <v>31</v>
      </c>
      <c r="D289" s="3">
        <v>144.9</v>
      </c>
      <c r="E289" s="3">
        <v>190.1</v>
      </c>
      <c r="F289" s="3">
        <v>175.3</v>
      </c>
      <c r="G289" s="3">
        <v>154.1</v>
      </c>
      <c r="H289" s="3">
        <v>150.9</v>
      </c>
      <c r="I289" s="3">
        <v>149.6</v>
      </c>
      <c r="J289" s="3">
        <v>194.2</v>
      </c>
      <c r="K289" s="3">
        <v>160.4</v>
      </c>
      <c r="L289" s="3">
        <v>114.6</v>
      </c>
      <c r="M289" s="3">
        <v>164</v>
      </c>
      <c r="N289" s="3">
        <v>151.80000000000001</v>
      </c>
      <c r="O289" s="3">
        <v>165.6</v>
      </c>
      <c r="P289" s="3">
        <v>161</v>
      </c>
      <c r="Q289" s="3">
        <v>186.5</v>
      </c>
      <c r="R289" s="3">
        <v>155.5</v>
      </c>
      <c r="S289" s="3">
        <v>146.1</v>
      </c>
      <c r="T289" s="3">
        <v>154.19999999999999</v>
      </c>
      <c r="U289" s="3">
        <v>157.69999999999999</v>
      </c>
      <c r="V289" s="3">
        <f t="shared" si="35"/>
        <v>157.69999999999999</v>
      </c>
      <c r="W289" s="3">
        <v>147.9</v>
      </c>
      <c r="X289" s="3">
        <v>150</v>
      </c>
      <c r="Y289" s="3">
        <v>159.30000000000001</v>
      </c>
      <c r="Z289" s="3">
        <v>141.9</v>
      </c>
      <c r="AA289" s="3">
        <v>149.6</v>
      </c>
      <c r="AB289" s="3">
        <v>159.19999999999999</v>
      </c>
      <c r="AC289" s="3">
        <v>156.80000000000001</v>
      </c>
      <c r="AD289" s="3">
        <v>151.9</v>
      </c>
      <c r="AE289" s="3">
        <v>157.30000000000001</v>
      </c>
      <c r="AF289">
        <f t="shared" si="36"/>
        <v>2076.5</v>
      </c>
      <c r="AG289">
        <f t="shared" si="37"/>
        <v>455.8</v>
      </c>
      <c r="AH289">
        <f t="shared" si="38"/>
        <v>289.8</v>
      </c>
      <c r="AI289">
        <f t="shared" si="39"/>
        <v>466.9</v>
      </c>
      <c r="AJ289">
        <f t="shared" si="40"/>
        <v>316.10000000000002</v>
      </c>
      <c r="AK289">
        <f t="shared" si="41"/>
        <v>488</v>
      </c>
    </row>
    <row r="290" spans="1:37" x14ac:dyDescent="0.25">
      <c r="A290" s="6" t="s">
        <v>30</v>
      </c>
      <c r="B290" s="6">
        <v>2021</v>
      </c>
      <c r="C290" s="6" t="s">
        <v>35</v>
      </c>
      <c r="D290" s="3">
        <v>142.80000000000001</v>
      </c>
      <c r="E290" s="3">
        <v>184</v>
      </c>
      <c r="F290" s="3">
        <v>168</v>
      </c>
      <c r="G290" s="3">
        <v>154.4</v>
      </c>
      <c r="H290" s="3">
        <v>163</v>
      </c>
      <c r="I290" s="3">
        <v>147.80000000000001</v>
      </c>
      <c r="J290" s="3">
        <v>149.69999999999999</v>
      </c>
      <c r="K290" s="3">
        <v>158.30000000000001</v>
      </c>
      <c r="L290" s="3">
        <v>111.8</v>
      </c>
      <c r="M290" s="3">
        <v>165</v>
      </c>
      <c r="N290" s="3">
        <v>160</v>
      </c>
      <c r="O290" s="3">
        <v>165.8</v>
      </c>
      <c r="P290" s="3">
        <v>154.69999999999999</v>
      </c>
      <c r="Q290" s="3">
        <v>186.5</v>
      </c>
      <c r="R290" s="3">
        <v>159.1</v>
      </c>
      <c r="S290" s="3">
        <v>153.9</v>
      </c>
      <c r="T290" s="3">
        <v>158.4</v>
      </c>
      <c r="U290" s="3" t="s">
        <v>32</v>
      </c>
      <c r="V290" s="3">
        <f t="shared" si="35"/>
        <v>159.80000000000001</v>
      </c>
      <c r="W290" s="3">
        <v>154.4</v>
      </c>
      <c r="X290" s="3">
        <v>154.80000000000001</v>
      </c>
      <c r="Y290" s="3">
        <v>164.3</v>
      </c>
      <c r="Z290" s="3">
        <v>150.19999999999999</v>
      </c>
      <c r="AA290" s="3">
        <v>157</v>
      </c>
      <c r="AB290" s="3">
        <v>163.6</v>
      </c>
      <c r="AC290" s="3">
        <v>155.19999999999999</v>
      </c>
      <c r="AD290" s="3">
        <v>157.19999999999999</v>
      </c>
      <c r="AE290" s="3">
        <v>156.69999999999999</v>
      </c>
      <c r="AF290">
        <f t="shared" si="36"/>
        <v>2025.3</v>
      </c>
      <c r="AG290">
        <f t="shared" si="37"/>
        <v>471.4</v>
      </c>
      <c r="AH290">
        <f t="shared" si="38"/>
        <v>304.60000000000002</v>
      </c>
      <c r="AI290">
        <f t="shared" si="39"/>
        <v>478.20000000000005</v>
      </c>
      <c r="AJ290">
        <f t="shared" si="40"/>
        <v>319.5</v>
      </c>
      <c r="AK290">
        <f t="shared" si="41"/>
        <v>500.7</v>
      </c>
    </row>
    <row r="291" spans="1:37" x14ac:dyDescent="0.25">
      <c r="A291" s="6" t="s">
        <v>33</v>
      </c>
      <c r="B291" s="6">
        <v>2021</v>
      </c>
      <c r="C291" s="6" t="s">
        <v>35</v>
      </c>
      <c r="D291" s="3">
        <v>147.6</v>
      </c>
      <c r="E291" s="3">
        <v>191.2</v>
      </c>
      <c r="F291" s="3">
        <v>169.9</v>
      </c>
      <c r="G291" s="3">
        <v>155.1</v>
      </c>
      <c r="H291" s="3">
        <v>151.4</v>
      </c>
      <c r="I291" s="3">
        <v>154</v>
      </c>
      <c r="J291" s="3">
        <v>180.2</v>
      </c>
      <c r="K291" s="3">
        <v>159.80000000000001</v>
      </c>
      <c r="L291" s="3">
        <v>114.9</v>
      </c>
      <c r="M291" s="3">
        <v>162.5</v>
      </c>
      <c r="N291" s="3">
        <v>149.19999999999999</v>
      </c>
      <c r="O291" s="3">
        <v>169.4</v>
      </c>
      <c r="P291" s="3">
        <v>160.80000000000001</v>
      </c>
      <c r="Q291" s="3">
        <v>193.3</v>
      </c>
      <c r="R291" s="3">
        <v>154.19999999999999</v>
      </c>
      <c r="S291" s="3">
        <v>138.19999999999999</v>
      </c>
      <c r="T291" s="3">
        <v>151.80000000000001</v>
      </c>
      <c r="U291" s="3">
        <v>159.80000000000001</v>
      </c>
      <c r="V291" s="3">
        <f t="shared" si="35"/>
        <v>159.80000000000001</v>
      </c>
      <c r="W291" s="3">
        <v>149.1</v>
      </c>
      <c r="X291" s="3">
        <v>146.5</v>
      </c>
      <c r="Y291" s="3">
        <v>156.30000000000001</v>
      </c>
      <c r="Z291" s="3">
        <v>140.5</v>
      </c>
      <c r="AA291" s="3">
        <v>147.30000000000001</v>
      </c>
      <c r="AB291" s="3">
        <v>156.6</v>
      </c>
      <c r="AC291" s="3">
        <v>156.69999999999999</v>
      </c>
      <c r="AD291" s="3">
        <v>149.30000000000001</v>
      </c>
      <c r="AE291" s="3">
        <v>156.5</v>
      </c>
      <c r="AF291">
        <f t="shared" si="36"/>
        <v>2066</v>
      </c>
      <c r="AG291">
        <f t="shared" si="37"/>
        <v>444.2</v>
      </c>
      <c r="AH291">
        <f t="shared" si="38"/>
        <v>289.60000000000002</v>
      </c>
      <c r="AI291">
        <f t="shared" si="39"/>
        <v>462.9</v>
      </c>
      <c r="AJ291">
        <f t="shared" si="40"/>
        <v>313</v>
      </c>
      <c r="AK291">
        <f t="shared" si="41"/>
        <v>489.90000000000003</v>
      </c>
    </row>
    <row r="292" spans="1:37" x14ac:dyDescent="0.25">
      <c r="A292" s="6" t="s">
        <v>34</v>
      </c>
      <c r="B292" s="6">
        <v>2021</v>
      </c>
      <c r="C292" s="6" t="s">
        <v>35</v>
      </c>
      <c r="D292" s="3">
        <v>144.30000000000001</v>
      </c>
      <c r="E292" s="3">
        <v>186.5</v>
      </c>
      <c r="F292" s="3">
        <v>168.7</v>
      </c>
      <c r="G292" s="3">
        <v>154.69999999999999</v>
      </c>
      <c r="H292" s="3">
        <v>158.69999999999999</v>
      </c>
      <c r="I292" s="3">
        <v>150.69999999999999</v>
      </c>
      <c r="J292" s="3">
        <v>160</v>
      </c>
      <c r="K292" s="3">
        <v>158.80000000000001</v>
      </c>
      <c r="L292" s="3">
        <v>112.8</v>
      </c>
      <c r="M292" s="3">
        <v>164.2</v>
      </c>
      <c r="N292" s="3">
        <v>155.5</v>
      </c>
      <c r="O292" s="3">
        <v>167.5</v>
      </c>
      <c r="P292" s="3">
        <v>156.9</v>
      </c>
      <c r="Q292" s="3">
        <v>188.3</v>
      </c>
      <c r="R292" s="3">
        <v>157.19999999999999</v>
      </c>
      <c r="S292" s="3">
        <v>147.4</v>
      </c>
      <c r="T292" s="3">
        <v>155.80000000000001</v>
      </c>
      <c r="U292" s="3">
        <v>159.80000000000001</v>
      </c>
      <c r="V292" s="3">
        <f t="shared" si="35"/>
        <v>159.80000000000001</v>
      </c>
      <c r="W292" s="3">
        <v>152.4</v>
      </c>
      <c r="X292" s="3">
        <v>150.9</v>
      </c>
      <c r="Y292" s="3">
        <v>161.30000000000001</v>
      </c>
      <c r="Z292" s="3">
        <v>145.1</v>
      </c>
      <c r="AA292" s="3">
        <v>151.5</v>
      </c>
      <c r="AB292" s="3">
        <v>159.5</v>
      </c>
      <c r="AC292" s="3">
        <v>155.80000000000001</v>
      </c>
      <c r="AD292" s="3">
        <v>153.4</v>
      </c>
      <c r="AE292" s="3">
        <v>156.6</v>
      </c>
      <c r="AF292">
        <f t="shared" si="36"/>
        <v>2039.3000000000002</v>
      </c>
      <c r="AG292">
        <f t="shared" si="37"/>
        <v>460.40000000000003</v>
      </c>
      <c r="AH292">
        <f t="shared" si="38"/>
        <v>297.5</v>
      </c>
      <c r="AI292">
        <f t="shared" si="39"/>
        <v>470.20000000000005</v>
      </c>
      <c r="AJ292">
        <f t="shared" si="40"/>
        <v>317.10000000000002</v>
      </c>
      <c r="AK292">
        <f t="shared" si="41"/>
        <v>493.20000000000005</v>
      </c>
    </row>
    <row r="293" spans="1:37" x14ac:dyDescent="0.25">
      <c r="A293" s="6" t="s">
        <v>30</v>
      </c>
      <c r="B293" s="6">
        <v>2021</v>
      </c>
      <c r="C293" s="6" t="s">
        <v>36</v>
      </c>
      <c r="D293" s="3">
        <v>142.5</v>
      </c>
      <c r="E293" s="3">
        <v>189.4</v>
      </c>
      <c r="F293" s="3">
        <v>163.19999999999999</v>
      </c>
      <c r="G293" s="3">
        <v>154.5</v>
      </c>
      <c r="H293" s="3">
        <v>168.2</v>
      </c>
      <c r="I293" s="3">
        <v>150.5</v>
      </c>
      <c r="J293" s="3">
        <v>141</v>
      </c>
      <c r="K293" s="3">
        <v>159.19999999999999</v>
      </c>
      <c r="L293" s="3">
        <v>111.7</v>
      </c>
      <c r="M293" s="3">
        <v>164</v>
      </c>
      <c r="N293" s="3">
        <v>160.6</v>
      </c>
      <c r="O293" s="3">
        <v>166.4</v>
      </c>
      <c r="P293" s="3">
        <v>154.5</v>
      </c>
      <c r="Q293" s="3">
        <v>186.1</v>
      </c>
      <c r="R293" s="3">
        <v>159.6</v>
      </c>
      <c r="S293" s="3">
        <v>154.4</v>
      </c>
      <c r="T293" s="3">
        <v>158.9</v>
      </c>
      <c r="U293" s="3" t="s">
        <v>32</v>
      </c>
      <c r="V293" s="3">
        <f t="shared" si="35"/>
        <v>159.9</v>
      </c>
      <c r="W293" s="3">
        <v>156</v>
      </c>
      <c r="X293" s="3">
        <v>154.80000000000001</v>
      </c>
      <c r="Y293" s="3">
        <v>164.6</v>
      </c>
      <c r="Z293" s="3">
        <v>151.30000000000001</v>
      </c>
      <c r="AA293" s="3">
        <v>157.80000000000001</v>
      </c>
      <c r="AB293" s="3">
        <v>163.80000000000001</v>
      </c>
      <c r="AC293" s="3">
        <v>153.1</v>
      </c>
      <c r="AD293" s="3">
        <v>157.30000000000001</v>
      </c>
      <c r="AE293" s="3">
        <v>156.69999999999999</v>
      </c>
      <c r="AF293">
        <f t="shared" si="36"/>
        <v>2025.7</v>
      </c>
      <c r="AG293">
        <f t="shared" si="37"/>
        <v>472.9</v>
      </c>
      <c r="AH293">
        <f t="shared" si="38"/>
        <v>307.3</v>
      </c>
      <c r="AI293">
        <f t="shared" si="39"/>
        <v>478.50000000000006</v>
      </c>
      <c r="AJ293">
        <f t="shared" si="40"/>
        <v>317.7</v>
      </c>
      <c r="AK293">
        <f t="shared" si="41"/>
        <v>501.2</v>
      </c>
    </row>
    <row r="294" spans="1:37" x14ac:dyDescent="0.25">
      <c r="A294" s="6" t="s">
        <v>33</v>
      </c>
      <c r="B294" s="6">
        <v>2021</v>
      </c>
      <c r="C294" s="6" t="s">
        <v>36</v>
      </c>
      <c r="D294" s="3">
        <v>147.5</v>
      </c>
      <c r="E294" s="3">
        <v>197.5</v>
      </c>
      <c r="F294" s="3">
        <v>164.7</v>
      </c>
      <c r="G294" s="3">
        <v>155.6</v>
      </c>
      <c r="H294" s="3">
        <v>156.4</v>
      </c>
      <c r="I294" s="3">
        <v>157.30000000000001</v>
      </c>
      <c r="J294" s="3">
        <v>166.1</v>
      </c>
      <c r="K294" s="3">
        <v>161.1</v>
      </c>
      <c r="L294" s="3">
        <v>114.3</v>
      </c>
      <c r="M294" s="3">
        <v>162.6</v>
      </c>
      <c r="N294" s="3">
        <v>150.69999999999999</v>
      </c>
      <c r="O294" s="3">
        <v>170.3</v>
      </c>
      <c r="P294" s="3">
        <v>160.4</v>
      </c>
      <c r="Q294" s="3">
        <v>193.5</v>
      </c>
      <c r="R294" s="3">
        <v>155.1</v>
      </c>
      <c r="S294" s="3">
        <v>138.69999999999999</v>
      </c>
      <c r="T294" s="3">
        <v>152.6</v>
      </c>
      <c r="U294" s="3">
        <v>159.9</v>
      </c>
      <c r="V294" s="3">
        <f t="shared" si="35"/>
        <v>159.9</v>
      </c>
      <c r="W294" s="3">
        <v>154.80000000000001</v>
      </c>
      <c r="X294" s="3">
        <v>147.19999999999999</v>
      </c>
      <c r="Y294" s="3">
        <v>156.9</v>
      </c>
      <c r="Z294" s="3">
        <v>141.69999999999999</v>
      </c>
      <c r="AA294" s="3">
        <v>148.6</v>
      </c>
      <c r="AB294" s="3">
        <v>157.6</v>
      </c>
      <c r="AC294" s="3">
        <v>154.9</v>
      </c>
      <c r="AD294" s="3">
        <v>150</v>
      </c>
      <c r="AE294" s="3">
        <v>156.9</v>
      </c>
      <c r="AF294">
        <f t="shared" si="36"/>
        <v>2064.4999999999995</v>
      </c>
      <c r="AG294">
        <f t="shared" si="37"/>
        <v>446.4</v>
      </c>
      <c r="AH294">
        <f t="shared" si="38"/>
        <v>296.5</v>
      </c>
      <c r="AI294">
        <f t="shared" si="39"/>
        <v>464.70000000000005</v>
      </c>
      <c r="AJ294">
        <f t="shared" si="40"/>
        <v>311.8</v>
      </c>
      <c r="AK294">
        <f t="shared" si="41"/>
        <v>492.1</v>
      </c>
    </row>
    <row r="295" spans="1:37" x14ac:dyDescent="0.25">
      <c r="A295" s="6" t="s">
        <v>34</v>
      </c>
      <c r="B295" s="6">
        <v>2021</v>
      </c>
      <c r="C295" s="6" t="s">
        <v>36</v>
      </c>
      <c r="D295" s="3">
        <v>144.1</v>
      </c>
      <c r="E295" s="3">
        <v>192.2</v>
      </c>
      <c r="F295" s="3">
        <v>163.80000000000001</v>
      </c>
      <c r="G295" s="3">
        <v>154.9</v>
      </c>
      <c r="H295" s="3">
        <v>163.9</v>
      </c>
      <c r="I295" s="3">
        <v>153.69999999999999</v>
      </c>
      <c r="J295" s="3">
        <v>149.5</v>
      </c>
      <c r="K295" s="3">
        <v>159.80000000000001</v>
      </c>
      <c r="L295" s="3">
        <v>112.6</v>
      </c>
      <c r="M295" s="3">
        <v>163.5</v>
      </c>
      <c r="N295" s="3">
        <v>156.5</v>
      </c>
      <c r="O295" s="3">
        <v>168.2</v>
      </c>
      <c r="P295" s="3">
        <v>156.69999999999999</v>
      </c>
      <c r="Q295" s="3">
        <v>188.1</v>
      </c>
      <c r="R295" s="3">
        <v>157.80000000000001</v>
      </c>
      <c r="S295" s="3">
        <v>147.9</v>
      </c>
      <c r="T295" s="3">
        <v>156.4</v>
      </c>
      <c r="U295" s="3">
        <v>159.9</v>
      </c>
      <c r="V295" s="3">
        <f t="shared" si="35"/>
        <v>159.9</v>
      </c>
      <c r="W295" s="3">
        <v>155.5</v>
      </c>
      <c r="X295" s="3">
        <v>151.19999999999999</v>
      </c>
      <c r="Y295" s="3">
        <v>161.69999999999999</v>
      </c>
      <c r="Z295" s="3">
        <v>146.19999999999999</v>
      </c>
      <c r="AA295" s="3">
        <v>152.6</v>
      </c>
      <c r="AB295" s="3">
        <v>160.19999999999999</v>
      </c>
      <c r="AC295" s="3">
        <v>153.80000000000001</v>
      </c>
      <c r="AD295" s="3">
        <v>153.80000000000001</v>
      </c>
      <c r="AE295" s="3">
        <v>156.80000000000001</v>
      </c>
      <c r="AF295">
        <f t="shared" si="36"/>
        <v>2039.3999999999999</v>
      </c>
      <c r="AG295">
        <f t="shared" si="37"/>
        <v>462.1</v>
      </c>
      <c r="AH295">
        <f t="shared" si="38"/>
        <v>301.7</v>
      </c>
      <c r="AI295">
        <f t="shared" si="39"/>
        <v>471.3</v>
      </c>
      <c r="AJ295">
        <f t="shared" si="40"/>
        <v>315.5</v>
      </c>
      <c r="AK295">
        <f t="shared" si="41"/>
        <v>494.5</v>
      </c>
    </row>
    <row r="296" spans="1:37" x14ac:dyDescent="0.25">
      <c r="A296" s="6" t="s">
        <v>30</v>
      </c>
      <c r="B296" s="6">
        <v>2021</v>
      </c>
      <c r="C296" s="6" t="s">
        <v>37</v>
      </c>
      <c r="D296" s="3">
        <v>142.69999999999999</v>
      </c>
      <c r="E296" s="3">
        <v>195.5</v>
      </c>
      <c r="F296" s="3">
        <v>163.4</v>
      </c>
      <c r="G296" s="3">
        <v>155</v>
      </c>
      <c r="H296" s="3">
        <v>175.2</v>
      </c>
      <c r="I296" s="3">
        <v>160.6</v>
      </c>
      <c r="J296" s="3">
        <v>135.1</v>
      </c>
      <c r="K296" s="3">
        <v>161.1</v>
      </c>
      <c r="L296" s="3">
        <v>112.2</v>
      </c>
      <c r="M296" s="3">
        <v>164.4</v>
      </c>
      <c r="N296" s="3">
        <v>161.9</v>
      </c>
      <c r="O296" s="3">
        <v>166.8</v>
      </c>
      <c r="P296" s="3">
        <v>155.6</v>
      </c>
      <c r="Q296" s="3">
        <v>186.8</v>
      </c>
      <c r="R296" s="3">
        <v>160.69999999999999</v>
      </c>
      <c r="S296" s="3">
        <v>155.1</v>
      </c>
      <c r="T296" s="3">
        <v>159.9</v>
      </c>
      <c r="U296" s="3" t="s">
        <v>32</v>
      </c>
      <c r="V296" s="3">
        <f t="shared" si="35"/>
        <v>161.4</v>
      </c>
      <c r="W296" s="3">
        <v>156</v>
      </c>
      <c r="X296" s="3">
        <v>155.5</v>
      </c>
      <c r="Y296" s="3">
        <v>165.3</v>
      </c>
      <c r="Z296" s="3">
        <v>151.69999999999999</v>
      </c>
      <c r="AA296" s="3">
        <v>158.6</v>
      </c>
      <c r="AB296" s="3">
        <v>164.1</v>
      </c>
      <c r="AC296" s="3">
        <v>154.6</v>
      </c>
      <c r="AD296" s="3">
        <v>158</v>
      </c>
      <c r="AE296" s="3">
        <v>157.6</v>
      </c>
      <c r="AF296">
        <f t="shared" si="36"/>
        <v>2049.5</v>
      </c>
      <c r="AG296">
        <f t="shared" si="37"/>
        <v>475.69999999999993</v>
      </c>
      <c r="AH296">
        <f t="shared" si="38"/>
        <v>307.7</v>
      </c>
      <c r="AI296">
        <f t="shared" si="39"/>
        <v>481</v>
      </c>
      <c r="AJ296">
        <f t="shared" si="40"/>
        <v>319.89999999999998</v>
      </c>
      <c r="AK296">
        <f t="shared" si="41"/>
        <v>503.4</v>
      </c>
    </row>
    <row r="297" spans="1:37" x14ac:dyDescent="0.25">
      <c r="A297" s="6" t="s">
        <v>33</v>
      </c>
      <c r="B297" s="6">
        <v>2021</v>
      </c>
      <c r="C297" s="6" t="s">
        <v>37</v>
      </c>
      <c r="D297" s="3">
        <v>147.6</v>
      </c>
      <c r="E297" s="3">
        <v>202.5</v>
      </c>
      <c r="F297" s="3">
        <v>166.4</v>
      </c>
      <c r="G297" s="3">
        <v>156</v>
      </c>
      <c r="H297" s="3">
        <v>161.4</v>
      </c>
      <c r="I297" s="3">
        <v>168.8</v>
      </c>
      <c r="J297" s="3">
        <v>161.6</v>
      </c>
      <c r="K297" s="3">
        <v>162.80000000000001</v>
      </c>
      <c r="L297" s="3">
        <v>114.8</v>
      </c>
      <c r="M297" s="3">
        <v>162.80000000000001</v>
      </c>
      <c r="N297" s="3">
        <v>151.5</v>
      </c>
      <c r="O297" s="3">
        <v>171.4</v>
      </c>
      <c r="P297" s="3">
        <v>162</v>
      </c>
      <c r="Q297" s="3">
        <v>194.4</v>
      </c>
      <c r="R297" s="3">
        <v>155.9</v>
      </c>
      <c r="S297" s="3">
        <v>139.30000000000001</v>
      </c>
      <c r="T297" s="3">
        <v>153.4</v>
      </c>
      <c r="U297" s="3">
        <v>161.4</v>
      </c>
      <c r="V297" s="3">
        <f t="shared" si="35"/>
        <v>161.4</v>
      </c>
      <c r="W297" s="3">
        <v>154.9</v>
      </c>
      <c r="X297" s="3">
        <v>147.6</v>
      </c>
      <c r="Y297" s="3">
        <v>157.5</v>
      </c>
      <c r="Z297" s="3">
        <v>142.1</v>
      </c>
      <c r="AA297" s="3">
        <v>149.1</v>
      </c>
      <c r="AB297" s="3">
        <v>157.6</v>
      </c>
      <c r="AC297" s="3">
        <v>156.6</v>
      </c>
      <c r="AD297" s="3">
        <v>150.5</v>
      </c>
      <c r="AE297" s="3">
        <v>158</v>
      </c>
      <c r="AF297">
        <f t="shared" si="36"/>
        <v>2089.6</v>
      </c>
      <c r="AG297">
        <f t="shared" si="37"/>
        <v>448.6</v>
      </c>
      <c r="AH297">
        <f t="shared" si="38"/>
        <v>297</v>
      </c>
      <c r="AI297">
        <f t="shared" si="39"/>
        <v>466.6</v>
      </c>
      <c r="AJ297">
        <f t="shared" si="40"/>
        <v>314.10000000000002</v>
      </c>
      <c r="AK297">
        <f t="shared" si="41"/>
        <v>494</v>
      </c>
    </row>
    <row r="298" spans="1:37" x14ac:dyDescent="0.25">
      <c r="A298" s="6" t="s">
        <v>34</v>
      </c>
      <c r="B298" s="6">
        <v>2021</v>
      </c>
      <c r="C298" s="6" t="s">
        <v>37</v>
      </c>
      <c r="D298" s="3">
        <v>144.30000000000001</v>
      </c>
      <c r="E298" s="3">
        <v>198</v>
      </c>
      <c r="F298" s="3">
        <v>164.6</v>
      </c>
      <c r="G298" s="3">
        <v>155.4</v>
      </c>
      <c r="H298" s="3">
        <v>170.1</v>
      </c>
      <c r="I298" s="3">
        <v>164.4</v>
      </c>
      <c r="J298" s="3">
        <v>144.1</v>
      </c>
      <c r="K298" s="3">
        <v>161.69999999999999</v>
      </c>
      <c r="L298" s="3">
        <v>113.1</v>
      </c>
      <c r="M298" s="3">
        <v>163.9</v>
      </c>
      <c r="N298" s="3">
        <v>157.6</v>
      </c>
      <c r="O298" s="3">
        <v>168.9</v>
      </c>
      <c r="P298" s="3">
        <v>158</v>
      </c>
      <c r="Q298" s="3">
        <v>188.8</v>
      </c>
      <c r="R298" s="3">
        <v>158.80000000000001</v>
      </c>
      <c r="S298" s="3">
        <v>148.5</v>
      </c>
      <c r="T298" s="3">
        <v>157.30000000000001</v>
      </c>
      <c r="U298" s="3">
        <v>161.4</v>
      </c>
      <c r="V298" s="3">
        <f t="shared" si="35"/>
        <v>161.4</v>
      </c>
      <c r="W298" s="3">
        <v>155.6</v>
      </c>
      <c r="X298" s="3">
        <v>151.80000000000001</v>
      </c>
      <c r="Y298" s="3">
        <v>162.30000000000001</v>
      </c>
      <c r="Z298" s="3">
        <v>146.6</v>
      </c>
      <c r="AA298" s="3">
        <v>153.19999999999999</v>
      </c>
      <c r="AB298" s="3">
        <v>160.30000000000001</v>
      </c>
      <c r="AC298" s="3">
        <v>155.4</v>
      </c>
      <c r="AD298" s="3">
        <v>154.4</v>
      </c>
      <c r="AE298" s="3">
        <v>157.80000000000001</v>
      </c>
      <c r="AF298">
        <f t="shared" si="36"/>
        <v>2064.1</v>
      </c>
      <c r="AG298">
        <f t="shared" si="37"/>
        <v>464.6</v>
      </c>
      <c r="AH298">
        <f t="shared" si="38"/>
        <v>302.2</v>
      </c>
      <c r="AI298">
        <f t="shared" si="39"/>
        <v>473.50000000000006</v>
      </c>
      <c r="AJ298">
        <f t="shared" si="40"/>
        <v>317.70000000000005</v>
      </c>
      <c r="AK298">
        <f t="shared" si="41"/>
        <v>496.4</v>
      </c>
    </row>
    <row r="299" spans="1:37" x14ac:dyDescent="0.25">
      <c r="A299" s="6" t="s">
        <v>30</v>
      </c>
      <c r="B299" s="6">
        <v>2021</v>
      </c>
      <c r="C299" s="6" t="s">
        <v>38</v>
      </c>
      <c r="D299" s="3">
        <v>145.1</v>
      </c>
      <c r="E299" s="3">
        <v>198.5</v>
      </c>
      <c r="F299" s="3">
        <v>168.6</v>
      </c>
      <c r="G299" s="3">
        <v>155.80000000000001</v>
      </c>
      <c r="H299" s="3">
        <v>184.4</v>
      </c>
      <c r="I299" s="3">
        <v>162.30000000000001</v>
      </c>
      <c r="J299" s="3">
        <v>138.4</v>
      </c>
      <c r="K299" s="3">
        <v>165.1</v>
      </c>
      <c r="L299" s="3">
        <v>114.3</v>
      </c>
      <c r="M299" s="3">
        <v>169.7</v>
      </c>
      <c r="N299" s="3">
        <v>164.6</v>
      </c>
      <c r="O299" s="3">
        <v>169.8</v>
      </c>
      <c r="P299" s="3">
        <v>158.69999999999999</v>
      </c>
      <c r="Q299" s="3">
        <v>189.6</v>
      </c>
      <c r="R299" s="3">
        <v>165.3</v>
      </c>
      <c r="S299" s="3">
        <v>160.6</v>
      </c>
      <c r="T299" s="3">
        <v>164.5</v>
      </c>
      <c r="U299" s="3" t="s">
        <v>32</v>
      </c>
      <c r="V299" s="3">
        <f t="shared" si="35"/>
        <v>161.6</v>
      </c>
      <c r="W299" s="3">
        <v>161.69999999999999</v>
      </c>
      <c r="X299" s="3">
        <v>158.80000000000001</v>
      </c>
      <c r="Y299" s="3">
        <v>169.1</v>
      </c>
      <c r="Z299" s="3">
        <v>153.19999999999999</v>
      </c>
      <c r="AA299" s="3">
        <v>160</v>
      </c>
      <c r="AB299" s="3">
        <v>167.6</v>
      </c>
      <c r="AC299" s="3">
        <v>159.30000000000001</v>
      </c>
      <c r="AD299" s="3">
        <v>161.1</v>
      </c>
      <c r="AE299" s="3">
        <v>161.1</v>
      </c>
      <c r="AF299">
        <f t="shared" si="36"/>
        <v>2095.2999999999997</v>
      </c>
      <c r="AG299">
        <f t="shared" si="37"/>
        <v>490.4</v>
      </c>
      <c r="AH299">
        <f t="shared" si="38"/>
        <v>314.89999999999998</v>
      </c>
      <c r="AI299">
        <f t="shared" si="39"/>
        <v>488</v>
      </c>
      <c r="AJ299">
        <f t="shared" si="40"/>
        <v>328.4</v>
      </c>
      <c r="AK299">
        <f t="shared" si="41"/>
        <v>510.70000000000005</v>
      </c>
    </row>
    <row r="300" spans="1:37" x14ac:dyDescent="0.25">
      <c r="A300" s="6" t="s">
        <v>33</v>
      </c>
      <c r="B300" s="6">
        <v>2021</v>
      </c>
      <c r="C300" s="6" t="s">
        <v>38</v>
      </c>
      <c r="D300" s="3">
        <v>148.80000000000001</v>
      </c>
      <c r="E300" s="3">
        <v>204.3</v>
      </c>
      <c r="F300" s="3">
        <v>173</v>
      </c>
      <c r="G300" s="3">
        <v>156.5</v>
      </c>
      <c r="H300" s="3">
        <v>168.8</v>
      </c>
      <c r="I300" s="3">
        <v>172.5</v>
      </c>
      <c r="J300" s="3">
        <v>166.5</v>
      </c>
      <c r="K300" s="3">
        <v>165.9</v>
      </c>
      <c r="L300" s="3">
        <v>115.9</v>
      </c>
      <c r="M300" s="3">
        <v>165.2</v>
      </c>
      <c r="N300" s="3">
        <v>152</v>
      </c>
      <c r="O300" s="3">
        <v>171.1</v>
      </c>
      <c r="P300" s="3">
        <v>164.2</v>
      </c>
      <c r="Q300" s="3">
        <v>198.2</v>
      </c>
      <c r="R300" s="3">
        <v>156.5</v>
      </c>
      <c r="S300" s="3">
        <v>140.19999999999999</v>
      </c>
      <c r="T300" s="3">
        <v>154.1</v>
      </c>
      <c r="U300" s="3">
        <v>161.6</v>
      </c>
      <c r="V300" s="3">
        <f t="shared" si="35"/>
        <v>161.6</v>
      </c>
      <c r="W300" s="3">
        <v>155.5</v>
      </c>
      <c r="X300" s="3">
        <v>150.1</v>
      </c>
      <c r="Y300" s="3">
        <v>160.4</v>
      </c>
      <c r="Z300" s="3">
        <v>145</v>
      </c>
      <c r="AA300" s="3">
        <v>152.6</v>
      </c>
      <c r="AB300" s="3">
        <v>156.6</v>
      </c>
      <c r="AC300" s="3">
        <v>157.5</v>
      </c>
      <c r="AD300" s="3">
        <v>152.30000000000001</v>
      </c>
      <c r="AE300" s="3">
        <v>159.5</v>
      </c>
      <c r="AF300">
        <f t="shared" si="36"/>
        <v>2124.7000000000003</v>
      </c>
      <c r="AG300">
        <f t="shared" si="37"/>
        <v>450.79999999999995</v>
      </c>
      <c r="AH300">
        <f t="shared" si="38"/>
        <v>300.5</v>
      </c>
      <c r="AI300">
        <f t="shared" si="39"/>
        <v>468.29999999999995</v>
      </c>
      <c r="AJ300">
        <f t="shared" si="40"/>
        <v>317.89999999999998</v>
      </c>
      <c r="AK300">
        <f t="shared" si="41"/>
        <v>503.09999999999997</v>
      </c>
    </row>
    <row r="301" spans="1:37" x14ac:dyDescent="0.25">
      <c r="A301" s="6" t="s">
        <v>34</v>
      </c>
      <c r="B301" s="6">
        <v>2021</v>
      </c>
      <c r="C301" s="6" t="s">
        <v>38</v>
      </c>
      <c r="D301" s="3">
        <v>146.30000000000001</v>
      </c>
      <c r="E301" s="3">
        <v>200.5</v>
      </c>
      <c r="F301" s="3">
        <v>170.3</v>
      </c>
      <c r="G301" s="3">
        <v>156.1</v>
      </c>
      <c r="H301" s="3">
        <v>178.7</v>
      </c>
      <c r="I301" s="3">
        <v>167.1</v>
      </c>
      <c r="J301" s="3">
        <v>147.9</v>
      </c>
      <c r="K301" s="3">
        <v>165.4</v>
      </c>
      <c r="L301" s="3">
        <v>114.8</v>
      </c>
      <c r="M301" s="3">
        <v>168.2</v>
      </c>
      <c r="N301" s="3">
        <v>159.30000000000001</v>
      </c>
      <c r="O301" s="3">
        <v>170.4</v>
      </c>
      <c r="P301" s="3">
        <v>160.69999999999999</v>
      </c>
      <c r="Q301" s="3">
        <v>191.9</v>
      </c>
      <c r="R301" s="3">
        <v>161.80000000000001</v>
      </c>
      <c r="S301" s="3">
        <v>152.1</v>
      </c>
      <c r="T301" s="3">
        <v>160.4</v>
      </c>
      <c r="U301" s="3">
        <v>161.6</v>
      </c>
      <c r="V301" s="3">
        <f t="shared" si="35"/>
        <v>161.6</v>
      </c>
      <c r="W301" s="3">
        <v>159.4</v>
      </c>
      <c r="X301" s="3">
        <v>154.69999999999999</v>
      </c>
      <c r="Y301" s="3">
        <v>165.8</v>
      </c>
      <c r="Z301" s="3">
        <v>148.9</v>
      </c>
      <c r="AA301" s="3">
        <v>155.80000000000001</v>
      </c>
      <c r="AB301" s="3">
        <v>161.19999999999999</v>
      </c>
      <c r="AC301" s="3">
        <v>158.6</v>
      </c>
      <c r="AD301" s="3">
        <v>156.80000000000001</v>
      </c>
      <c r="AE301" s="3">
        <v>160.4</v>
      </c>
      <c r="AF301">
        <f t="shared" si="36"/>
        <v>2105.7000000000003</v>
      </c>
      <c r="AG301">
        <f t="shared" si="37"/>
        <v>474.29999999999995</v>
      </c>
      <c r="AH301">
        <f t="shared" si="38"/>
        <v>308.3</v>
      </c>
      <c r="AI301">
        <f t="shared" si="39"/>
        <v>477.49999999999994</v>
      </c>
      <c r="AJ301">
        <f t="shared" si="40"/>
        <v>324.39999999999998</v>
      </c>
      <c r="AK301">
        <f t="shared" si="41"/>
        <v>504.50000000000006</v>
      </c>
    </row>
    <row r="302" spans="1:37" x14ac:dyDescent="0.25">
      <c r="A302" s="6" t="s">
        <v>30</v>
      </c>
      <c r="B302" s="6">
        <v>2021</v>
      </c>
      <c r="C302" s="6" t="s">
        <v>39</v>
      </c>
      <c r="D302" s="3">
        <v>145.6</v>
      </c>
      <c r="E302" s="3">
        <v>200.1</v>
      </c>
      <c r="F302" s="3">
        <v>179.3</v>
      </c>
      <c r="G302" s="3">
        <v>156.1</v>
      </c>
      <c r="H302" s="3">
        <v>190.4</v>
      </c>
      <c r="I302" s="3">
        <v>158.6</v>
      </c>
      <c r="J302" s="3">
        <v>144.69999999999999</v>
      </c>
      <c r="K302" s="3">
        <v>165.5</v>
      </c>
      <c r="L302" s="3">
        <v>114.6</v>
      </c>
      <c r="M302" s="3">
        <v>170</v>
      </c>
      <c r="N302" s="3">
        <v>165.5</v>
      </c>
      <c r="O302" s="3">
        <v>171.7</v>
      </c>
      <c r="P302" s="3">
        <v>160.5</v>
      </c>
      <c r="Q302" s="3">
        <v>189.1</v>
      </c>
      <c r="R302" s="3">
        <v>165.3</v>
      </c>
      <c r="S302" s="3">
        <v>159.9</v>
      </c>
      <c r="T302" s="3">
        <v>164.6</v>
      </c>
      <c r="U302" s="3" t="s">
        <v>32</v>
      </c>
      <c r="V302" s="3">
        <f t="shared" si="35"/>
        <v>160.5</v>
      </c>
      <c r="W302" s="3">
        <v>162.1</v>
      </c>
      <c r="X302" s="3">
        <v>159.19999999999999</v>
      </c>
      <c r="Y302" s="3">
        <v>169.7</v>
      </c>
      <c r="Z302" s="3">
        <v>154.19999999999999</v>
      </c>
      <c r="AA302" s="3">
        <v>160.4</v>
      </c>
      <c r="AB302" s="3">
        <v>166.8</v>
      </c>
      <c r="AC302" s="3">
        <v>159.4</v>
      </c>
      <c r="AD302" s="3">
        <v>161.5</v>
      </c>
      <c r="AE302" s="3">
        <v>162.1</v>
      </c>
      <c r="AF302">
        <f t="shared" si="36"/>
        <v>2122.6</v>
      </c>
      <c r="AG302">
        <f t="shared" si="37"/>
        <v>489.80000000000007</v>
      </c>
      <c r="AH302">
        <f t="shared" si="38"/>
        <v>316.29999999999995</v>
      </c>
      <c r="AI302">
        <f t="shared" si="39"/>
        <v>486.5</v>
      </c>
      <c r="AJ302">
        <f t="shared" si="40"/>
        <v>329.1</v>
      </c>
      <c r="AK302">
        <f t="shared" si="41"/>
        <v>511</v>
      </c>
    </row>
    <row r="303" spans="1:37" x14ac:dyDescent="0.25">
      <c r="A303" s="6" t="s">
        <v>33</v>
      </c>
      <c r="B303" s="6">
        <v>2021</v>
      </c>
      <c r="C303" s="6" t="s">
        <v>39</v>
      </c>
      <c r="D303" s="3">
        <v>149.19999999999999</v>
      </c>
      <c r="E303" s="3">
        <v>205.5</v>
      </c>
      <c r="F303" s="3">
        <v>182.8</v>
      </c>
      <c r="G303" s="3">
        <v>156.5</v>
      </c>
      <c r="H303" s="3">
        <v>172.2</v>
      </c>
      <c r="I303" s="3">
        <v>171.5</v>
      </c>
      <c r="J303" s="3">
        <v>176.2</v>
      </c>
      <c r="K303" s="3">
        <v>166.9</v>
      </c>
      <c r="L303" s="3">
        <v>116.1</v>
      </c>
      <c r="M303" s="3">
        <v>165.5</v>
      </c>
      <c r="N303" s="3">
        <v>152.30000000000001</v>
      </c>
      <c r="O303" s="3">
        <v>173.3</v>
      </c>
      <c r="P303" s="3">
        <v>166.2</v>
      </c>
      <c r="Q303" s="3">
        <v>195.6</v>
      </c>
      <c r="R303" s="3">
        <v>157.30000000000001</v>
      </c>
      <c r="S303" s="3">
        <v>140.5</v>
      </c>
      <c r="T303" s="3">
        <v>154.80000000000001</v>
      </c>
      <c r="U303" s="3">
        <v>160.5</v>
      </c>
      <c r="V303" s="3">
        <f t="shared" si="35"/>
        <v>160.5</v>
      </c>
      <c r="W303" s="3">
        <v>156.1</v>
      </c>
      <c r="X303" s="3">
        <v>149.80000000000001</v>
      </c>
      <c r="Y303" s="3">
        <v>160.80000000000001</v>
      </c>
      <c r="Z303" s="3">
        <v>147.5</v>
      </c>
      <c r="AA303" s="3">
        <v>150.69999999999999</v>
      </c>
      <c r="AB303" s="3">
        <v>158.1</v>
      </c>
      <c r="AC303" s="3">
        <v>158</v>
      </c>
      <c r="AD303" s="3">
        <v>153.4</v>
      </c>
      <c r="AE303" s="3">
        <v>160.4</v>
      </c>
      <c r="AF303">
        <f t="shared" si="36"/>
        <v>2154.1999999999998</v>
      </c>
      <c r="AG303">
        <f t="shared" si="37"/>
        <v>452.6</v>
      </c>
      <c r="AH303">
        <f t="shared" si="38"/>
        <v>303.60000000000002</v>
      </c>
      <c r="AI303">
        <f t="shared" si="39"/>
        <v>468.4</v>
      </c>
      <c r="AJ303">
        <f t="shared" si="40"/>
        <v>318.8</v>
      </c>
      <c r="AK303">
        <f t="shared" si="41"/>
        <v>499.69999999999993</v>
      </c>
    </row>
    <row r="304" spans="1:37" x14ac:dyDescent="0.25">
      <c r="A304" s="6" t="s">
        <v>34</v>
      </c>
      <c r="B304" s="6">
        <v>2021</v>
      </c>
      <c r="C304" s="6" t="s">
        <v>39</v>
      </c>
      <c r="D304" s="3">
        <v>146.69999999999999</v>
      </c>
      <c r="E304" s="3">
        <v>202</v>
      </c>
      <c r="F304" s="3">
        <v>180.7</v>
      </c>
      <c r="G304" s="3">
        <v>156.19999999999999</v>
      </c>
      <c r="H304" s="3">
        <v>183.7</v>
      </c>
      <c r="I304" s="3">
        <v>164.6</v>
      </c>
      <c r="J304" s="3">
        <v>155.4</v>
      </c>
      <c r="K304" s="3">
        <v>166</v>
      </c>
      <c r="L304" s="3">
        <v>115.1</v>
      </c>
      <c r="M304" s="3">
        <v>168.5</v>
      </c>
      <c r="N304" s="3">
        <v>160</v>
      </c>
      <c r="O304" s="3">
        <v>172.4</v>
      </c>
      <c r="P304" s="3">
        <v>162.6</v>
      </c>
      <c r="Q304" s="3">
        <v>190.8</v>
      </c>
      <c r="R304" s="3">
        <v>162.19999999999999</v>
      </c>
      <c r="S304" s="3">
        <v>151.80000000000001</v>
      </c>
      <c r="T304" s="3">
        <v>160.69999999999999</v>
      </c>
      <c r="U304" s="3">
        <v>160.5</v>
      </c>
      <c r="V304" s="3">
        <f t="shared" si="35"/>
        <v>160.5</v>
      </c>
      <c r="W304" s="3">
        <v>159.80000000000001</v>
      </c>
      <c r="X304" s="3">
        <v>154.80000000000001</v>
      </c>
      <c r="Y304" s="3">
        <v>166.3</v>
      </c>
      <c r="Z304" s="3">
        <v>150.69999999999999</v>
      </c>
      <c r="AA304" s="3">
        <v>154.9</v>
      </c>
      <c r="AB304" s="3">
        <v>161.69999999999999</v>
      </c>
      <c r="AC304" s="3">
        <v>158.80000000000001</v>
      </c>
      <c r="AD304" s="3">
        <v>157.6</v>
      </c>
      <c r="AE304" s="3">
        <v>161.30000000000001</v>
      </c>
      <c r="AF304">
        <f t="shared" si="36"/>
        <v>2133.9</v>
      </c>
      <c r="AG304">
        <f t="shared" si="37"/>
        <v>474.7</v>
      </c>
      <c r="AH304">
        <f t="shared" si="38"/>
        <v>310.5</v>
      </c>
      <c r="AI304">
        <f t="shared" si="39"/>
        <v>477</v>
      </c>
      <c r="AJ304">
        <f t="shared" si="40"/>
        <v>325.10000000000002</v>
      </c>
      <c r="AK304">
        <f t="shared" si="41"/>
        <v>503.30000000000007</v>
      </c>
    </row>
    <row r="305" spans="1:37" x14ac:dyDescent="0.25">
      <c r="A305" s="6" t="s">
        <v>30</v>
      </c>
      <c r="B305" s="6">
        <v>2021</v>
      </c>
      <c r="C305" s="6" t="s">
        <v>40</v>
      </c>
      <c r="D305" s="3">
        <v>145.1</v>
      </c>
      <c r="E305" s="3">
        <v>204.5</v>
      </c>
      <c r="F305" s="3">
        <v>180.4</v>
      </c>
      <c r="G305" s="3">
        <v>157.1</v>
      </c>
      <c r="H305" s="3">
        <v>188.7</v>
      </c>
      <c r="I305" s="3">
        <v>157.69999999999999</v>
      </c>
      <c r="J305" s="3">
        <v>152.80000000000001</v>
      </c>
      <c r="K305" s="3">
        <v>163.6</v>
      </c>
      <c r="L305" s="3">
        <v>113.9</v>
      </c>
      <c r="M305" s="3">
        <v>169.7</v>
      </c>
      <c r="N305" s="3">
        <v>166.2</v>
      </c>
      <c r="O305" s="3">
        <v>171</v>
      </c>
      <c r="P305" s="3">
        <v>161.69999999999999</v>
      </c>
      <c r="Q305" s="3">
        <v>189.7</v>
      </c>
      <c r="R305" s="3">
        <v>166</v>
      </c>
      <c r="S305" s="3">
        <v>161.1</v>
      </c>
      <c r="T305" s="3">
        <v>165.3</v>
      </c>
      <c r="U305" s="3" t="s">
        <v>32</v>
      </c>
      <c r="V305" s="3">
        <f t="shared" si="35"/>
        <v>161.5</v>
      </c>
      <c r="W305" s="3">
        <v>162.5</v>
      </c>
      <c r="X305" s="3">
        <v>160.30000000000001</v>
      </c>
      <c r="Y305" s="3">
        <v>170.4</v>
      </c>
      <c r="Z305" s="3">
        <v>157.1</v>
      </c>
      <c r="AA305" s="3">
        <v>160.69999999999999</v>
      </c>
      <c r="AB305" s="3">
        <v>167.2</v>
      </c>
      <c r="AC305" s="3">
        <v>160.4</v>
      </c>
      <c r="AD305" s="3">
        <v>162.80000000000001</v>
      </c>
      <c r="AE305" s="3">
        <v>163.19999999999999</v>
      </c>
      <c r="AF305">
        <f t="shared" si="36"/>
        <v>2132.4</v>
      </c>
      <c r="AG305">
        <f t="shared" si="37"/>
        <v>492.40000000000003</v>
      </c>
      <c r="AH305">
        <f t="shared" si="38"/>
        <v>319.60000000000002</v>
      </c>
      <c r="AI305">
        <f t="shared" si="39"/>
        <v>489</v>
      </c>
      <c r="AJ305">
        <f t="shared" si="40"/>
        <v>330.8</v>
      </c>
      <c r="AK305">
        <f t="shared" si="41"/>
        <v>513.20000000000005</v>
      </c>
    </row>
    <row r="306" spans="1:37" x14ac:dyDescent="0.25">
      <c r="A306" s="6" t="s">
        <v>33</v>
      </c>
      <c r="B306" s="6">
        <v>2021</v>
      </c>
      <c r="C306" s="6" t="s">
        <v>40</v>
      </c>
      <c r="D306" s="3">
        <v>149.1</v>
      </c>
      <c r="E306" s="3">
        <v>210.9</v>
      </c>
      <c r="F306" s="3">
        <v>185</v>
      </c>
      <c r="G306" s="3">
        <v>158.19999999999999</v>
      </c>
      <c r="H306" s="3">
        <v>170.6</v>
      </c>
      <c r="I306" s="3">
        <v>170.9</v>
      </c>
      <c r="J306" s="3">
        <v>186.4</v>
      </c>
      <c r="K306" s="3">
        <v>164.7</v>
      </c>
      <c r="L306" s="3">
        <v>115.7</v>
      </c>
      <c r="M306" s="3">
        <v>165.5</v>
      </c>
      <c r="N306" s="3">
        <v>153.4</v>
      </c>
      <c r="O306" s="3">
        <v>173.5</v>
      </c>
      <c r="P306" s="3">
        <v>167.9</v>
      </c>
      <c r="Q306" s="3">
        <v>195.5</v>
      </c>
      <c r="R306" s="3">
        <v>157.9</v>
      </c>
      <c r="S306" s="3">
        <v>141.9</v>
      </c>
      <c r="T306" s="3">
        <v>155.5</v>
      </c>
      <c r="U306" s="3">
        <v>161.5</v>
      </c>
      <c r="V306" s="3">
        <f t="shared" si="35"/>
        <v>161.5</v>
      </c>
      <c r="W306" s="3">
        <v>157.69999999999999</v>
      </c>
      <c r="X306" s="3">
        <v>150.69999999999999</v>
      </c>
      <c r="Y306" s="3">
        <v>161.5</v>
      </c>
      <c r="Z306" s="3">
        <v>149.5</v>
      </c>
      <c r="AA306" s="3">
        <v>151.19999999999999</v>
      </c>
      <c r="AB306" s="3">
        <v>160.30000000000001</v>
      </c>
      <c r="AC306" s="3">
        <v>159.6</v>
      </c>
      <c r="AD306" s="3">
        <v>155</v>
      </c>
      <c r="AE306" s="3">
        <v>161.80000000000001</v>
      </c>
      <c r="AF306">
        <f t="shared" si="36"/>
        <v>2171.8000000000002</v>
      </c>
      <c r="AG306">
        <f t="shared" si="37"/>
        <v>455.3</v>
      </c>
      <c r="AH306">
        <f t="shared" si="38"/>
        <v>307.2</v>
      </c>
      <c r="AI306">
        <f t="shared" si="39"/>
        <v>472.5</v>
      </c>
      <c r="AJ306">
        <f t="shared" si="40"/>
        <v>321.10000000000002</v>
      </c>
      <c r="AK306">
        <f t="shared" si="41"/>
        <v>501.7</v>
      </c>
    </row>
    <row r="307" spans="1:37" x14ac:dyDescent="0.25">
      <c r="A307" s="6" t="s">
        <v>34</v>
      </c>
      <c r="B307" s="6">
        <v>2021</v>
      </c>
      <c r="C307" s="6" t="s">
        <v>40</v>
      </c>
      <c r="D307" s="3">
        <v>146.4</v>
      </c>
      <c r="E307" s="3">
        <v>206.8</v>
      </c>
      <c r="F307" s="3">
        <v>182.2</v>
      </c>
      <c r="G307" s="3">
        <v>157.5</v>
      </c>
      <c r="H307" s="3">
        <v>182.1</v>
      </c>
      <c r="I307" s="3">
        <v>163.9</v>
      </c>
      <c r="J307" s="3">
        <v>164.2</v>
      </c>
      <c r="K307" s="3">
        <v>164</v>
      </c>
      <c r="L307" s="3">
        <v>114.5</v>
      </c>
      <c r="M307" s="3">
        <v>168.3</v>
      </c>
      <c r="N307" s="3">
        <v>160.9</v>
      </c>
      <c r="O307" s="3">
        <v>172.2</v>
      </c>
      <c r="P307" s="3">
        <v>164</v>
      </c>
      <c r="Q307" s="3">
        <v>191.2</v>
      </c>
      <c r="R307" s="3">
        <v>162.80000000000001</v>
      </c>
      <c r="S307" s="3">
        <v>153.1</v>
      </c>
      <c r="T307" s="3">
        <v>161.4</v>
      </c>
      <c r="U307" s="3">
        <v>161.5</v>
      </c>
      <c r="V307" s="3">
        <f t="shared" si="35"/>
        <v>161.5</v>
      </c>
      <c r="W307" s="3">
        <v>160.69999999999999</v>
      </c>
      <c r="X307" s="3">
        <v>155.80000000000001</v>
      </c>
      <c r="Y307" s="3">
        <v>167</v>
      </c>
      <c r="Z307" s="3">
        <v>153.1</v>
      </c>
      <c r="AA307" s="3">
        <v>155.30000000000001</v>
      </c>
      <c r="AB307" s="3">
        <v>163.19999999999999</v>
      </c>
      <c r="AC307" s="3">
        <v>160.1</v>
      </c>
      <c r="AD307" s="3">
        <v>159</v>
      </c>
      <c r="AE307" s="3">
        <v>162.5</v>
      </c>
      <c r="AF307">
        <f t="shared" si="36"/>
        <v>2147</v>
      </c>
      <c r="AG307">
        <f t="shared" si="37"/>
        <v>477.29999999999995</v>
      </c>
      <c r="AH307">
        <f t="shared" si="38"/>
        <v>313.79999999999995</v>
      </c>
      <c r="AI307">
        <f t="shared" si="39"/>
        <v>480.5</v>
      </c>
      <c r="AJ307">
        <f t="shared" si="40"/>
        <v>327.10000000000002</v>
      </c>
      <c r="AK307">
        <f t="shared" si="41"/>
        <v>505.5</v>
      </c>
    </row>
    <row r="308" spans="1:37" x14ac:dyDescent="0.25">
      <c r="A308" s="6" t="s">
        <v>30</v>
      </c>
      <c r="B308" s="6">
        <v>2021</v>
      </c>
      <c r="C308" s="6" t="s">
        <v>41</v>
      </c>
      <c r="D308" s="3">
        <v>144.9</v>
      </c>
      <c r="E308" s="3">
        <v>202.3</v>
      </c>
      <c r="F308" s="3">
        <v>176.5</v>
      </c>
      <c r="G308" s="3">
        <v>157.5</v>
      </c>
      <c r="H308" s="3">
        <v>190.9</v>
      </c>
      <c r="I308" s="3">
        <v>155.69999999999999</v>
      </c>
      <c r="J308" s="3">
        <v>153.9</v>
      </c>
      <c r="K308" s="3">
        <v>162.80000000000001</v>
      </c>
      <c r="L308" s="3">
        <v>115.2</v>
      </c>
      <c r="M308" s="3">
        <v>169.8</v>
      </c>
      <c r="N308" s="3">
        <v>167.6</v>
      </c>
      <c r="O308" s="3">
        <v>171.9</v>
      </c>
      <c r="P308" s="3">
        <v>161.80000000000001</v>
      </c>
      <c r="Q308" s="3">
        <v>190.2</v>
      </c>
      <c r="R308" s="3">
        <v>167</v>
      </c>
      <c r="S308" s="3">
        <v>162.6</v>
      </c>
      <c r="T308" s="3">
        <v>166.3</v>
      </c>
      <c r="U308" s="3" t="s">
        <v>32</v>
      </c>
      <c r="V308" s="3">
        <f t="shared" si="35"/>
        <v>162.1</v>
      </c>
      <c r="W308" s="3">
        <v>163.1</v>
      </c>
      <c r="X308" s="3">
        <v>160.9</v>
      </c>
      <c r="Y308" s="3">
        <v>171.1</v>
      </c>
      <c r="Z308" s="3">
        <v>157.69999999999999</v>
      </c>
      <c r="AA308" s="3">
        <v>161.1</v>
      </c>
      <c r="AB308" s="3">
        <v>167.5</v>
      </c>
      <c r="AC308" s="3">
        <v>160.30000000000001</v>
      </c>
      <c r="AD308" s="3">
        <v>163.30000000000001</v>
      </c>
      <c r="AE308" s="3">
        <v>163.6</v>
      </c>
      <c r="AF308">
        <f t="shared" si="36"/>
        <v>2130.8000000000002</v>
      </c>
      <c r="AG308">
        <f t="shared" si="37"/>
        <v>495.90000000000003</v>
      </c>
      <c r="AH308">
        <f t="shared" si="38"/>
        <v>320.79999999999995</v>
      </c>
      <c r="AI308">
        <f t="shared" si="39"/>
        <v>490.5</v>
      </c>
      <c r="AJ308">
        <f t="shared" si="40"/>
        <v>331.4</v>
      </c>
      <c r="AK308">
        <f t="shared" si="41"/>
        <v>514.59999999999991</v>
      </c>
    </row>
    <row r="309" spans="1:37" x14ac:dyDescent="0.25">
      <c r="A309" s="6" t="s">
        <v>33</v>
      </c>
      <c r="B309" s="6">
        <v>2021</v>
      </c>
      <c r="C309" s="6" t="s">
        <v>41</v>
      </c>
      <c r="D309" s="3">
        <v>149.30000000000001</v>
      </c>
      <c r="E309" s="3">
        <v>207.4</v>
      </c>
      <c r="F309" s="3">
        <v>174.1</v>
      </c>
      <c r="G309" s="3">
        <v>159.19999999999999</v>
      </c>
      <c r="H309" s="3">
        <v>175</v>
      </c>
      <c r="I309" s="3">
        <v>161.30000000000001</v>
      </c>
      <c r="J309" s="3">
        <v>183.3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v>196.5</v>
      </c>
      <c r="R309" s="3">
        <v>159.80000000000001</v>
      </c>
      <c r="S309" s="3">
        <v>143.6</v>
      </c>
      <c r="T309" s="3">
        <v>157.30000000000001</v>
      </c>
      <c r="U309" s="3">
        <v>162.1</v>
      </c>
      <c r="V309" s="3">
        <f t="shared" si="35"/>
        <v>162.1</v>
      </c>
      <c r="W309" s="3">
        <v>160.69999999999999</v>
      </c>
      <c r="X309" s="3">
        <v>153.19999999999999</v>
      </c>
      <c r="Y309" s="3">
        <v>162.80000000000001</v>
      </c>
      <c r="Z309" s="3">
        <v>150.4</v>
      </c>
      <c r="AA309" s="3">
        <v>153.69999999999999</v>
      </c>
      <c r="AB309" s="3">
        <v>160.4</v>
      </c>
      <c r="AC309" s="3">
        <v>159.6</v>
      </c>
      <c r="AD309" s="3">
        <v>156</v>
      </c>
      <c r="AE309" s="3">
        <v>162.30000000000001</v>
      </c>
      <c r="AF309">
        <f t="shared" si="36"/>
        <v>2157.9</v>
      </c>
      <c r="AG309">
        <f t="shared" si="37"/>
        <v>460.7</v>
      </c>
      <c r="AH309">
        <f t="shared" si="38"/>
        <v>311.10000000000002</v>
      </c>
      <c r="AI309">
        <f t="shared" si="39"/>
        <v>475.69999999999993</v>
      </c>
      <c r="AJ309">
        <f t="shared" si="40"/>
        <v>322.39999999999998</v>
      </c>
      <c r="AK309">
        <f t="shared" si="41"/>
        <v>506.2</v>
      </c>
    </row>
    <row r="310" spans="1:37" x14ac:dyDescent="0.25">
      <c r="A310" s="6" t="s">
        <v>34</v>
      </c>
      <c r="B310" s="6">
        <v>2021</v>
      </c>
      <c r="C310" s="6" t="s">
        <v>41</v>
      </c>
      <c r="D310" s="3">
        <v>146.6</v>
      </c>
      <c r="E310" s="3">
        <v>204</v>
      </c>
      <c r="F310" s="3">
        <v>172.8</v>
      </c>
      <c r="G310" s="3">
        <v>158.4</v>
      </c>
      <c r="H310" s="3">
        <v>188</v>
      </c>
      <c r="I310" s="3">
        <v>156.80000000000001</v>
      </c>
      <c r="J310" s="3">
        <v>162.19999999999999</v>
      </c>
      <c r="K310" s="3">
        <v>164.1</v>
      </c>
      <c r="L310" s="3">
        <v>119.7</v>
      </c>
      <c r="M310" s="3">
        <v>168.8</v>
      </c>
      <c r="N310" s="3">
        <v>162.69999999999999</v>
      </c>
      <c r="O310" s="3">
        <v>173.9</v>
      </c>
      <c r="P310" s="3">
        <v>164</v>
      </c>
      <c r="Q310" s="3">
        <v>192.1</v>
      </c>
      <c r="R310" s="3">
        <v>164.5</v>
      </c>
      <c r="S310" s="3">
        <v>155.30000000000001</v>
      </c>
      <c r="T310" s="3">
        <v>163.19999999999999</v>
      </c>
      <c r="U310" s="3">
        <v>162.1</v>
      </c>
      <c r="V310" s="3">
        <f t="shared" si="35"/>
        <v>162.1</v>
      </c>
      <c r="W310" s="3">
        <v>162.6</v>
      </c>
      <c r="X310" s="3">
        <v>157.5</v>
      </c>
      <c r="Y310" s="3">
        <v>168.4</v>
      </c>
      <c r="Z310" s="3">
        <v>154</v>
      </c>
      <c r="AA310" s="3">
        <v>157.6</v>
      </c>
      <c r="AB310" s="3">
        <v>163.80000000000001</v>
      </c>
      <c r="AC310" s="3">
        <v>160</v>
      </c>
      <c r="AD310" s="3">
        <v>160</v>
      </c>
      <c r="AE310" s="3">
        <v>163.19999999999999</v>
      </c>
      <c r="AF310">
        <f t="shared" si="36"/>
        <v>2142</v>
      </c>
      <c r="AG310">
        <f t="shared" si="37"/>
        <v>483</v>
      </c>
      <c r="AH310">
        <f t="shared" si="38"/>
        <v>316.60000000000002</v>
      </c>
      <c r="AI310">
        <f t="shared" si="39"/>
        <v>483.40000000000003</v>
      </c>
      <c r="AJ310">
        <f t="shared" si="40"/>
        <v>328.4</v>
      </c>
      <c r="AK310">
        <f t="shared" si="41"/>
        <v>509.7</v>
      </c>
    </row>
    <row r="311" spans="1:37" x14ac:dyDescent="0.25">
      <c r="A311" s="6" t="s">
        <v>30</v>
      </c>
      <c r="B311" s="6">
        <v>2021</v>
      </c>
      <c r="C311" s="6" t="s">
        <v>42</v>
      </c>
      <c r="D311" s="3">
        <v>145.4</v>
      </c>
      <c r="E311" s="3">
        <v>202.1</v>
      </c>
      <c r="F311" s="3">
        <v>172</v>
      </c>
      <c r="G311" s="3">
        <v>158</v>
      </c>
      <c r="H311" s="3">
        <v>195.5</v>
      </c>
      <c r="I311" s="3">
        <v>152.69999999999999</v>
      </c>
      <c r="J311" s="3">
        <v>151.4</v>
      </c>
      <c r="K311" s="3">
        <v>163.9</v>
      </c>
      <c r="L311" s="3">
        <v>119.3</v>
      </c>
      <c r="M311" s="3">
        <v>170.1</v>
      </c>
      <c r="N311" s="3">
        <v>168.3</v>
      </c>
      <c r="O311" s="3">
        <v>172.8</v>
      </c>
      <c r="P311" s="3">
        <v>162.1</v>
      </c>
      <c r="Q311" s="3">
        <v>190.5</v>
      </c>
      <c r="R311" s="3">
        <v>167.7</v>
      </c>
      <c r="S311" s="3">
        <v>163.6</v>
      </c>
      <c r="T311" s="3">
        <v>167.1</v>
      </c>
      <c r="U311" s="3" t="s">
        <v>32</v>
      </c>
      <c r="V311" s="3">
        <f t="shared" si="35"/>
        <v>162.1</v>
      </c>
      <c r="W311" s="3">
        <v>163.69999999999999</v>
      </c>
      <c r="X311" s="3">
        <v>161.30000000000001</v>
      </c>
      <c r="Y311" s="3">
        <v>171.9</v>
      </c>
      <c r="Z311" s="3">
        <v>157.80000000000001</v>
      </c>
      <c r="AA311" s="3">
        <v>162.69999999999999</v>
      </c>
      <c r="AB311" s="3">
        <v>168.5</v>
      </c>
      <c r="AC311" s="3">
        <v>160.19999999999999</v>
      </c>
      <c r="AD311" s="3">
        <v>163.80000000000001</v>
      </c>
      <c r="AE311" s="3">
        <v>164</v>
      </c>
      <c r="AF311">
        <f t="shared" si="36"/>
        <v>2133.6</v>
      </c>
      <c r="AG311">
        <f t="shared" si="37"/>
        <v>498.4</v>
      </c>
      <c r="AH311">
        <f t="shared" si="38"/>
        <v>321.5</v>
      </c>
      <c r="AI311">
        <f t="shared" si="39"/>
        <v>491.9</v>
      </c>
      <c r="AJ311">
        <f t="shared" si="40"/>
        <v>332.1</v>
      </c>
      <c r="AK311">
        <f t="shared" si="41"/>
        <v>517</v>
      </c>
    </row>
    <row r="312" spans="1:37" x14ac:dyDescent="0.25">
      <c r="A312" s="6" t="s">
        <v>33</v>
      </c>
      <c r="B312" s="6">
        <v>2021</v>
      </c>
      <c r="C312" s="6" t="s">
        <v>42</v>
      </c>
      <c r="D312" s="3">
        <v>149.30000000000001</v>
      </c>
      <c r="E312" s="3">
        <v>207.4</v>
      </c>
      <c r="F312" s="3">
        <v>174.1</v>
      </c>
      <c r="G312" s="3">
        <v>159.1</v>
      </c>
      <c r="H312" s="3">
        <v>175</v>
      </c>
      <c r="I312" s="3">
        <v>161.19999999999999</v>
      </c>
      <c r="J312" s="3">
        <v>183.5</v>
      </c>
      <c r="K312" s="3">
        <v>164.5</v>
      </c>
      <c r="L312" s="3">
        <v>120.4</v>
      </c>
      <c r="M312" s="3">
        <v>166.2</v>
      </c>
      <c r="N312" s="3">
        <v>154.80000000000001</v>
      </c>
      <c r="O312" s="3">
        <v>175.1</v>
      </c>
      <c r="P312" s="3">
        <v>167.3</v>
      </c>
      <c r="Q312" s="3">
        <v>196.5</v>
      </c>
      <c r="R312" s="3">
        <v>159.80000000000001</v>
      </c>
      <c r="S312" s="3">
        <v>143.6</v>
      </c>
      <c r="T312" s="3">
        <v>157.4</v>
      </c>
      <c r="U312" s="3">
        <v>162.1</v>
      </c>
      <c r="V312" s="3">
        <f t="shared" si="35"/>
        <v>162.1</v>
      </c>
      <c r="W312" s="3">
        <v>160.80000000000001</v>
      </c>
      <c r="X312" s="3">
        <v>153.30000000000001</v>
      </c>
      <c r="Y312" s="3">
        <v>162.80000000000001</v>
      </c>
      <c r="Z312" s="3">
        <v>150.5</v>
      </c>
      <c r="AA312" s="3">
        <v>153.9</v>
      </c>
      <c r="AB312" s="3">
        <v>160.30000000000001</v>
      </c>
      <c r="AC312" s="3">
        <v>159.6</v>
      </c>
      <c r="AD312" s="3">
        <v>156</v>
      </c>
      <c r="AE312" s="3">
        <v>162.30000000000001</v>
      </c>
      <c r="AF312">
        <f t="shared" si="36"/>
        <v>2157.9</v>
      </c>
      <c r="AG312">
        <f t="shared" si="37"/>
        <v>460.79999999999995</v>
      </c>
      <c r="AH312">
        <f t="shared" si="38"/>
        <v>311.3</v>
      </c>
      <c r="AI312">
        <f t="shared" si="39"/>
        <v>475.7</v>
      </c>
      <c r="AJ312">
        <f t="shared" si="40"/>
        <v>322.39999999999998</v>
      </c>
      <c r="AK312">
        <f t="shared" si="41"/>
        <v>506.4</v>
      </c>
    </row>
    <row r="313" spans="1:37" x14ac:dyDescent="0.25">
      <c r="A313" s="6" t="s">
        <v>34</v>
      </c>
      <c r="B313" s="6">
        <v>2021</v>
      </c>
      <c r="C313" s="6" t="s">
        <v>42</v>
      </c>
      <c r="D313" s="3">
        <v>146.6</v>
      </c>
      <c r="E313" s="3">
        <v>204</v>
      </c>
      <c r="F313" s="3">
        <v>172.8</v>
      </c>
      <c r="G313" s="3">
        <v>158.4</v>
      </c>
      <c r="H313" s="3">
        <v>188</v>
      </c>
      <c r="I313" s="3">
        <v>156.69999999999999</v>
      </c>
      <c r="J313" s="3">
        <v>162.30000000000001</v>
      </c>
      <c r="K313" s="3">
        <v>164.1</v>
      </c>
      <c r="L313" s="3">
        <v>119.7</v>
      </c>
      <c r="M313" s="3">
        <v>168.8</v>
      </c>
      <c r="N313" s="3">
        <v>162.69999999999999</v>
      </c>
      <c r="O313" s="3">
        <v>173.9</v>
      </c>
      <c r="P313" s="3">
        <v>164</v>
      </c>
      <c r="Q313" s="3">
        <v>192.1</v>
      </c>
      <c r="R313" s="3">
        <v>164.6</v>
      </c>
      <c r="S313" s="3">
        <v>155.30000000000001</v>
      </c>
      <c r="T313" s="3">
        <v>163.30000000000001</v>
      </c>
      <c r="U313" s="3">
        <v>162.1</v>
      </c>
      <c r="V313" s="3">
        <f t="shared" si="35"/>
        <v>162.1</v>
      </c>
      <c r="W313" s="3">
        <v>162.6</v>
      </c>
      <c r="X313" s="3">
        <v>157.5</v>
      </c>
      <c r="Y313" s="3">
        <v>168.4</v>
      </c>
      <c r="Z313" s="3">
        <v>154</v>
      </c>
      <c r="AA313" s="3">
        <v>157.69999999999999</v>
      </c>
      <c r="AB313" s="3">
        <v>163.69999999999999</v>
      </c>
      <c r="AC313" s="3">
        <v>160</v>
      </c>
      <c r="AD313" s="3">
        <v>160</v>
      </c>
      <c r="AE313" s="3">
        <v>163.19999999999999</v>
      </c>
      <c r="AF313">
        <f t="shared" si="36"/>
        <v>2142</v>
      </c>
      <c r="AG313">
        <f t="shared" si="37"/>
        <v>483.2</v>
      </c>
      <c r="AH313">
        <f t="shared" si="38"/>
        <v>316.60000000000002</v>
      </c>
      <c r="AI313">
        <f t="shared" si="39"/>
        <v>483.3</v>
      </c>
      <c r="AJ313">
        <f t="shared" si="40"/>
        <v>328.4</v>
      </c>
      <c r="AK313">
        <f t="shared" si="41"/>
        <v>509.79999999999995</v>
      </c>
    </row>
    <row r="314" spans="1:37" x14ac:dyDescent="0.25">
      <c r="A314" s="6" t="s">
        <v>30</v>
      </c>
      <c r="B314" s="6">
        <v>2021</v>
      </c>
      <c r="C314" s="6" t="s">
        <v>43</v>
      </c>
      <c r="D314" s="3">
        <v>146.1</v>
      </c>
      <c r="E314" s="3">
        <v>202.5</v>
      </c>
      <c r="F314" s="3">
        <v>170.1</v>
      </c>
      <c r="G314" s="3">
        <v>158.4</v>
      </c>
      <c r="H314" s="3">
        <v>198.8</v>
      </c>
      <c r="I314" s="3">
        <v>152.6</v>
      </c>
      <c r="J314" s="3">
        <v>170.4</v>
      </c>
      <c r="K314" s="3">
        <v>165.2</v>
      </c>
      <c r="L314" s="3">
        <v>121.6</v>
      </c>
      <c r="M314" s="3">
        <v>170.6</v>
      </c>
      <c r="N314" s="3">
        <v>168.8</v>
      </c>
      <c r="O314" s="3">
        <v>173.6</v>
      </c>
      <c r="P314" s="3">
        <v>165.5</v>
      </c>
      <c r="Q314" s="3">
        <v>191.2</v>
      </c>
      <c r="R314" s="3">
        <v>168.9</v>
      </c>
      <c r="S314" s="3">
        <v>164.8</v>
      </c>
      <c r="T314" s="3">
        <v>168.3</v>
      </c>
      <c r="U314" s="3" t="s">
        <v>32</v>
      </c>
      <c r="V314" s="3">
        <f t="shared" si="35"/>
        <v>163.6</v>
      </c>
      <c r="W314" s="3">
        <v>165.5</v>
      </c>
      <c r="X314" s="3">
        <v>162</v>
      </c>
      <c r="Y314" s="3">
        <v>172.5</v>
      </c>
      <c r="Z314" s="3">
        <v>159.5</v>
      </c>
      <c r="AA314" s="3">
        <v>163.19999999999999</v>
      </c>
      <c r="AB314" s="3">
        <v>169</v>
      </c>
      <c r="AC314" s="3">
        <v>161.1</v>
      </c>
      <c r="AD314" s="3">
        <v>164.7</v>
      </c>
      <c r="AE314" s="3">
        <v>166.3</v>
      </c>
      <c r="AF314">
        <f t="shared" si="36"/>
        <v>2164.1999999999998</v>
      </c>
      <c r="AG314">
        <f t="shared" si="37"/>
        <v>502.00000000000006</v>
      </c>
      <c r="AH314">
        <f t="shared" si="38"/>
        <v>325</v>
      </c>
      <c r="AI314">
        <f t="shared" si="39"/>
        <v>494.6</v>
      </c>
      <c r="AJ314">
        <f t="shared" si="40"/>
        <v>333.6</v>
      </c>
      <c r="AK314">
        <f t="shared" si="41"/>
        <v>519.09999999999991</v>
      </c>
    </row>
    <row r="315" spans="1:37" x14ac:dyDescent="0.25">
      <c r="A315" s="6" t="s">
        <v>33</v>
      </c>
      <c r="B315" s="6">
        <v>2021</v>
      </c>
      <c r="C315" s="6" t="s">
        <v>43</v>
      </c>
      <c r="D315" s="3">
        <v>150.1</v>
      </c>
      <c r="E315" s="3">
        <v>208.4</v>
      </c>
      <c r="F315" s="3">
        <v>173</v>
      </c>
      <c r="G315" s="3">
        <v>159.19999999999999</v>
      </c>
      <c r="H315" s="3">
        <v>176.6</v>
      </c>
      <c r="I315" s="3">
        <v>159.30000000000001</v>
      </c>
      <c r="J315" s="3">
        <v>214.4</v>
      </c>
      <c r="K315" s="3">
        <v>165.3</v>
      </c>
      <c r="L315" s="3">
        <v>122.5</v>
      </c>
      <c r="M315" s="3">
        <v>166.8</v>
      </c>
      <c r="N315" s="3">
        <v>155.4</v>
      </c>
      <c r="O315" s="3">
        <v>175.9</v>
      </c>
      <c r="P315" s="3">
        <v>171.5</v>
      </c>
      <c r="Q315" s="3">
        <v>197</v>
      </c>
      <c r="R315" s="3">
        <v>160.80000000000001</v>
      </c>
      <c r="S315" s="3">
        <v>144.4</v>
      </c>
      <c r="T315" s="3">
        <v>158.30000000000001</v>
      </c>
      <c r="U315" s="3">
        <v>163.6</v>
      </c>
      <c r="V315" s="3">
        <f t="shared" si="35"/>
        <v>163.6</v>
      </c>
      <c r="W315" s="3">
        <v>162.19999999999999</v>
      </c>
      <c r="X315" s="3">
        <v>154.30000000000001</v>
      </c>
      <c r="Y315" s="3">
        <v>163.5</v>
      </c>
      <c r="Z315" s="3">
        <v>152.19999999999999</v>
      </c>
      <c r="AA315" s="3">
        <v>155.1</v>
      </c>
      <c r="AB315" s="3">
        <v>160.30000000000001</v>
      </c>
      <c r="AC315" s="3">
        <v>160.30000000000001</v>
      </c>
      <c r="AD315" s="3">
        <v>157</v>
      </c>
      <c r="AE315" s="3">
        <v>164.6</v>
      </c>
      <c r="AF315">
        <f t="shared" si="36"/>
        <v>2198.4000000000005</v>
      </c>
      <c r="AG315">
        <f t="shared" si="37"/>
        <v>463.50000000000006</v>
      </c>
      <c r="AH315">
        <f t="shared" si="38"/>
        <v>314.39999999999998</v>
      </c>
      <c r="AI315">
        <f t="shared" si="39"/>
        <v>478.2</v>
      </c>
      <c r="AJ315">
        <f t="shared" si="40"/>
        <v>323.8</v>
      </c>
      <c r="AK315">
        <f t="shared" si="41"/>
        <v>509.1</v>
      </c>
    </row>
    <row r="316" spans="1:37" x14ac:dyDescent="0.25">
      <c r="A316" s="6" t="s">
        <v>34</v>
      </c>
      <c r="B316" s="6">
        <v>2021</v>
      </c>
      <c r="C316" s="6" t="s">
        <v>43</v>
      </c>
      <c r="D316" s="3">
        <v>147.4</v>
      </c>
      <c r="E316" s="3">
        <v>204.6</v>
      </c>
      <c r="F316" s="3">
        <v>171.2</v>
      </c>
      <c r="G316" s="3">
        <v>158.69999999999999</v>
      </c>
      <c r="H316" s="3">
        <v>190.6</v>
      </c>
      <c r="I316" s="3">
        <v>155.69999999999999</v>
      </c>
      <c r="J316" s="3">
        <v>185.3</v>
      </c>
      <c r="K316" s="3">
        <v>165.2</v>
      </c>
      <c r="L316" s="3">
        <v>121.9</v>
      </c>
      <c r="M316" s="3">
        <v>169.3</v>
      </c>
      <c r="N316" s="3">
        <v>163.19999999999999</v>
      </c>
      <c r="O316" s="3">
        <v>174.7</v>
      </c>
      <c r="P316" s="3">
        <v>167.7</v>
      </c>
      <c r="Q316" s="3">
        <v>192.7</v>
      </c>
      <c r="R316" s="3">
        <v>165.7</v>
      </c>
      <c r="S316" s="3">
        <v>156.30000000000001</v>
      </c>
      <c r="T316" s="3">
        <v>164.3</v>
      </c>
      <c r="U316" s="3">
        <v>163.6</v>
      </c>
      <c r="V316" s="3">
        <f t="shared" si="35"/>
        <v>163.6</v>
      </c>
      <c r="W316" s="3">
        <v>164.2</v>
      </c>
      <c r="X316" s="3">
        <v>158.4</v>
      </c>
      <c r="Y316" s="3">
        <v>169.1</v>
      </c>
      <c r="Z316" s="3">
        <v>155.69999999999999</v>
      </c>
      <c r="AA316" s="3">
        <v>158.6</v>
      </c>
      <c r="AB316" s="3">
        <v>163.9</v>
      </c>
      <c r="AC316" s="3">
        <v>160.80000000000001</v>
      </c>
      <c r="AD316" s="3">
        <v>161</v>
      </c>
      <c r="AE316" s="3">
        <v>165.5</v>
      </c>
      <c r="AF316">
        <f t="shared" si="36"/>
        <v>2175.5</v>
      </c>
      <c r="AG316">
        <f t="shared" si="37"/>
        <v>486.3</v>
      </c>
      <c r="AH316">
        <f t="shared" si="38"/>
        <v>319.89999999999998</v>
      </c>
      <c r="AI316">
        <f t="shared" si="39"/>
        <v>485.9</v>
      </c>
      <c r="AJ316">
        <f t="shared" si="40"/>
        <v>329.9</v>
      </c>
      <c r="AK316">
        <f t="shared" si="41"/>
        <v>512.29999999999995</v>
      </c>
    </row>
    <row r="317" spans="1:37" x14ac:dyDescent="0.25">
      <c r="A317" s="6" t="s">
        <v>30</v>
      </c>
      <c r="B317" s="6">
        <v>2021</v>
      </c>
      <c r="C317" s="6" t="s">
        <v>45</v>
      </c>
      <c r="D317" s="3">
        <v>146.9</v>
      </c>
      <c r="E317" s="3">
        <v>199.8</v>
      </c>
      <c r="F317" s="3">
        <v>171.5</v>
      </c>
      <c r="G317" s="3">
        <v>159.1</v>
      </c>
      <c r="H317" s="3">
        <v>198.4</v>
      </c>
      <c r="I317" s="3">
        <v>153.19999999999999</v>
      </c>
      <c r="J317" s="3">
        <v>183.9</v>
      </c>
      <c r="K317" s="3">
        <v>165.4</v>
      </c>
      <c r="L317" s="3">
        <v>122.1</v>
      </c>
      <c r="M317" s="3">
        <v>170.8</v>
      </c>
      <c r="N317" s="3">
        <v>169.1</v>
      </c>
      <c r="O317" s="3">
        <v>174.3</v>
      </c>
      <c r="P317" s="3">
        <v>167.5</v>
      </c>
      <c r="Q317" s="3">
        <v>191.4</v>
      </c>
      <c r="R317" s="3">
        <v>170.4</v>
      </c>
      <c r="S317" s="3">
        <v>166</v>
      </c>
      <c r="T317" s="3">
        <v>169.8</v>
      </c>
      <c r="U317" s="3" t="s">
        <v>32</v>
      </c>
      <c r="V317" s="3">
        <f t="shared" si="35"/>
        <v>164.2</v>
      </c>
      <c r="W317" s="3">
        <v>165.3</v>
      </c>
      <c r="X317" s="3">
        <v>162.9</v>
      </c>
      <c r="Y317" s="3">
        <v>173.4</v>
      </c>
      <c r="Z317" s="3">
        <v>158.9</v>
      </c>
      <c r="AA317" s="3">
        <v>163.80000000000001</v>
      </c>
      <c r="AB317" s="3">
        <v>169.3</v>
      </c>
      <c r="AC317" s="3">
        <v>162.4</v>
      </c>
      <c r="AD317" s="3">
        <v>165.2</v>
      </c>
      <c r="AE317" s="3">
        <v>167.6</v>
      </c>
      <c r="AF317">
        <f t="shared" si="36"/>
        <v>2182</v>
      </c>
      <c r="AG317">
        <f t="shared" si="37"/>
        <v>506.2</v>
      </c>
      <c r="AH317">
        <f t="shared" si="38"/>
        <v>324.20000000000005</v>
      </c>
      <c r="AI317">
        <f t="shared" si="39"/>
        <v>496.40000000000003</v>
      </c>
      <c r="AJ317">
        <f t="shared" si="40"/>
        <v>335.8</v>
      </c>
      <c r="AK317">
        <f t="shared" si="41"/>
        <v>520.40000000000009</v>
      </c>
    </row>
    <row r="318" spans="1:37" x14ac:dyDescent="0.25">
      <c r="A318" s="6" t="s">
        <v>33</v>
      </c>
      <c r="B318" s="6">
        <v>2021</v>
      </c>
      <c r="C318" s="6" t="s">
        <v>45</v>
      </c>
      <c r="D318" s="3">
        <v>151</v>
      </c>
      <c r="E318" s="3">
        <v>204.9</v>
      </c>
      <c r="F318" s="3">
        <v>175.4</v>
      </c>
      <c r="G318" s="3">
        <v>159.6</v>
      </c>
      <c r="H318" s="3">
        <v>175.8</v>
      </c>
      <c r="I318" s="3">
        <v>160.30000000000001</v>
      </c>
      <c r="J318" s="3">
        <v>229.1</v>
      </c>
      <c r="K318" s="3">
        <v>165.1</v>
      </c>
      <c r="L318" s="3">
        <v>123.1</v>
      </c>
      <c r="M318" s="3">
        <v>167.2</v>
      </c>
      <c r="N318" s="3">
        <v>156.1</v>
      </c>
      <c r="O318" s="3">
        <v>176.8</v>
      </c>
      <c r="P318" s="3">
        <v>173.5</v>
      </c>
      <c r="Q318" s="3">
        <v>197</v>
      </c>
      <c r="R318" s="3">
        <v>162.30000000000001</v>
      </c>
      <c r="S318" s="3">
        <v>145.30000000000001</v>
      </c>
      <c r="T318" s="3">
        <v>159.69999999999999</v>
      </c>
      <c r="U318" s="3">
        <v>164.2</v>
      </c>
      <c r="V318" s="3">
        <f t="shared" si="35"/>
        <v>164.2</v>
      </c>
      <c r="W318" s="3">
        <v>161.6</v>
      </c>
      <c r="X318" s="3">
        <v>155.19999999999999</v>
      </c>
      <c r="Y318" s="3">
        <v>164.2</v>
      </c>
      <c r="Z318" s="3">
        <v>151.19999999999999</v>
      </c>
      <c r="AA318" s="3">
        <v>156.69999999999999</v>
      </c>
      <c r="AB318" s="3">
        <v>160.80000000000001</v>
      </c>
      <c r="AC318" s="3">
        <v>161.80000000000001</v>
      </c>
      <c r="AD318" s="3">
        <v>157.30000000000001</v>
      </c>
      <c r="AE318" s="3">
        <v>165.6</v>
      </c>
      <c r="AF318">
        <f t="shared" si="36"/>
        <v>2217.8999999999996</v>
      </c>
      <c r="AG318">
        <f t="shared" si="37"/>
        <v>467.3</v>
      </c>
      <c r="AH318">
        <f t="shared" si="38"/>
        <v>312.79999999999995</v>
      </c>
      <c r="AI318">
        <f t="shared" si="39"/>
        <v>480.2</v>
      </c>
      <c r="AJ318">
        <f t="shared" si="40"/>
        <v>326</v>
      </c>
      <c r="AK318">
        <f t="shared" si="41"/>
        <v>511</v>
      </c>
    </row>
    <row r="319" spans="1:37" x14ac:dyDescent="0.25">
      <c r="A319" s="6" t="s">
        <v>34</v>
      </c>
      <c r="B319" s="6">
        <v>2021</v>
      </c>
      <c r="C319" s="6" t="s">
        <v>45</v>
      </c>
      <c r="D319" s="3">
        <v>148.19999999999999</v>
      </c>
      <c r="E319" s="3">
        <v>201.6</v>
      </c>
      <c r="F319" s="3">
        <v>173</v>
      </c>
      <c r="G319" s="3">
        <v>159.30000000000001</v>
      </c>
      <c r="H319" s="3">
        <v>190.1</v>
      </c>
      <c r="I319" s="3">
        <v>156.5</v>
      </c>
      <c r="J319" s="3">
        <v>199.2</v>
      </c>
      <c r="K319" s="3">
        <v>165.3</v>
      </c>
      <c r="L319" s="3">
        <v>122.4</v>
      </c>
      <c r="M319" s="3">
        <v>169.6</v>
      </c>
      <c r="N319" s="3">
        <v>163.69999999999999</v>
      </c>
      <c r="O319" s="3">
        <v>175.5</v>
      </c>
      <c r="P319" s="3">
        <v>169.7</v>
      </c>
      <c r="Q319" s="3">
        <v>192.9</v>
      </c>
      <c r="R319" s="3">
        <v>167.2</v>
      </c>
      <c r="S319" s="3">
        <v>157.4</v>
      </c>
      <c r="T319" s="3">
        <v>165.8</v>
      </c>
      <c r="U319" s="3">
        <v>164.2</v>
      </c>
      <c r="V319" s="3">
        <f t="shared" si="35"/>
        <v>164.2</v>
      </c>
      <c r="W319" s="3">
        <v>163.9</v>
      </c>
      <c r="X319" s="3">
        <v>159.30000000000001</v>
      </c>
      <c r="Y319" s="3">
        <v>169.9</v>
      </c>
      <c r="Z319" s="3">
        <v>154.80000000000001</v>
      </c>
      <c r="AA319" s="3">
        <v>159.80000000000001</v>
      </c>
      <c r="AB319" s="3">
        <v>164.3</v>
      </c>
      <c r="AC319" s="3">
        <v>162.19999999999999</v>
      </c>
      <c r="AD319" s="3">
        <v>161.4</v>
      </c>
      <c r="AE319" s="3">
        <v>166.7</v>
      </c>
      <c r="AF319">
        <f t="shared" si="36"/>
        <v>2194.1</v>
      </c>
      <c r="AG319">
        <f t="shared" si="37"/>
        <v>490.40000000000003</v>
      </c>
      <c r="AH319">
        <f t="shared" si="38"/>
        <v>318.70000000000005</v>
      </c>
      <c r="AI319">
        <f t="shared" si="39"/>
        <v>487.8</v>
      </c>
      <c r="AJ319">
        <f t="shared" si="40"/>
        <v>332.1</v>
      </c>
      <c r="AK319">
        <f t="shared" si="41"/>
        <v>514.1</v>
      </c>
    </row>
    <row r="320" spans="1:37" x14ac:dyDescent="0.25">
      <c r="A320" s="6" t="s">
        <v>30</v>
      </c>
      <c r="B320" s="6">
        <v>2021</v>
      </c>
      <c r="C320" s="6" t="s">
        <v>46</v>
      </c>
      <c r="D320" s="3">
        <v>147.4</v>
      </c>
      <c r="E320" s="3">
        <v>197</v>
      </c>
      <c r="F320" s="3">
        <v>176.5</v>
      </c>
      <c r="G320" s="3">
        <v>159.80000000000001</v>
      </c>
      <c r="H320" s="3">
        <v>195.8</v>
      </c>
      <c r="I320" s="3">
        <v>152</v>
      </c>
      <c r="J320" s="3">
        <v>172.3</v>
      </c>
      <c r="K320" s="3">
        <v>164.5</v>
      </c>
      <c r="L320" s="3">
        <v>120.6</v>
      </c>
      <c r="M320" s="3">
        <v>171.7</v>
      </c>
      <c r="N320" s="3">
        <v>169.7</v>
      </c>
      <c r="O320" s="3">
        <v>175.1</v>
      </c>
      <c r="P320" s="3">
        <v>165.8</v>
      </c>
      <c r="Q320" s="3">
        <v>190.8</v>
      </c>
      <c r="R320" s="3">
        <v>171.8</v>
      </c>
      <c r="S320" s="3">
        <v>167.3</v>
      </c>
      <c r="T320" s="3">
        <v>171.2</v>
      </c>
      <c r="U320" s="3" t="s">
        <v>32</v>
      </c>
      <c r="V320" s="3">
        <f t="shared" si="35"/>
        <v>163.4</v>
      </c>
      <c r="W320" s="3">
        <v>165.6</v>
      </c>
      <c r="X320" s="3">
        <v>163.9</v>
      </c>
      <c r="Y320" s="3">
        <v>174</v>
      </c>
      <c r="Z320" s="3">
        <v>160.1</v>
      </c>
      <c r="AA320" s="3">
        <v>164.5</v>
      </c>
      <c r="AB320" s="3">
        <v>169.7</v>
      </c>
      <c r="AC320" s="3">
        <v>162.80000000000001</v>
      </c>
      <c r="AD320" s="3">
        <v>166</v>
      </c>
      <c r="AE320" s="3">
        <v>167</v>
      </c>
      <c r="AF320">
        <f t="shared" si="36"/>
        <v>2168.1999999999998</v>
      </c>
      <c r="AG320">
        <f t="shared" si="37"/>
        <v>510.3</v>
      </c>
      <c r="AH320">
        <f t="shared" si="38"/>
        <v>325.7</v>
      </c>
      <c r="AI320">
        <f t="shared" si="39"/>
        <v>497</v>
      </c>
      <c r="AJ320">
        <f t="shared" si="40"/>
        <v>336.8</v>
      </c>
      <c r="AK320">
        <f t="shared" si="41"/>
        <v>521.29999999999995</v>
      </c>
    </row>
    <row r="321" spans="1:37" x14ac:dyDescent="0.25">
      <c r="A321" s="6" t="s">
        <v>33</v>
      </c>
      <c r="B321" s="6">
        <v>2021</v>
      </c>
      <c r="C321" s="6" t="s">
        <v>46</v>
      </c>
      <c r="D321" s="3">
        <v>151.6</v>
      </c>
      <c r="E321" s="3">
        <v>202.2</v>
      </c>
      <c r="F321" s="3">
        <v>180</v>
      </c>
      <c r="G321" s="3">
        <v>160</v>
      </c>
      <c r="H321" s="3">
        <v>173.5</v>
      </c>
      <c r="I321" s="3">
        <v>158.30000000000001</v>
      </c>
      <c r="J321" s="3">
        <v>219.5</v>
      </c>
      <c r="K321" s="3">
        <v>164.2</v>
      </c>
      <c r="L321" s="3">
        <v>121.9</v>
      </c>
      <c r="M321" s="3">
        <v>168.2</v>
      </c>
      <c r="N321" s="3">
        <v>156.5</v>
      </c>
      <c r="O321" s="3">
        <v>178.2</v>
      </c>
      <c r="P321" s="3">
        <v>172.2</v>
      </c>
      <c r="Q321" s="3">
        <v>196.8</v>
      </c>
      <c r="R321" s="3">
        <v>163.30000000000001</v>
      </c>
      <c r="S321" s="3">
        <v>146.69999999999999</v>
      </c>
      <c r="T321" s="3">
        <v>160.69999999999999</v>
      </c>
      <c r="U321" s="3">
        <v>163.4</v>
      </c>
      <c r="V321" s="3">
        <f t="shared" si="35"/>
        <v>163.4</v>
      </c>
      <c r="W321" s="3">
        <v>161.69999999999999</v>
      </c>
      <c r="X321" s="3">
        <v>156</v>
      </c>
      <c r="Y321" s="3">
        <v>165.1</v>
      </c>
      <c r="Z321" s="3">
        <v>151.80000000000001</v>
      </c>
      <c r="AA321" s="3">
        <v>157.6</v>
      </c>
      <c r="AB321" s="3">
        <v>160.6</v>
      </c>
      <c r="AC321" s="3">
        <v>162.4</v>
      </c>
      <c r="AD321" s="3">
        <v>157.80000000000001</v>
      </c>
      <c r="AE321" s="3">
        <v>165.2</v>
      </c>
      <c r="AF321">
        <f t="shared" si="36"/>
        <v>2206.3000000000002</v>
      </c>
      <c r="AG321">
        <f t="shared" si="37"/>
        <v>470.7</v>
      </c>
      <c r="AH321">
        <f t="shared" si="38"/>
        <v>313.5</v>
      </c>
      <c r="AI321">
        <f t="shared" si="39"/>
        <v>480</v>
      </c>
      <c r="AJ321">
        <f t="shared" si="40"/>
        <v>327.5</v>
      </c>
      <c r="AK321">
        <f t="shared" si="41"/>
        <v>512.20000000000005</v>
      </c>
    </row>
    <row r="322" spans="1:37" x14ac:dyDescent="0.25">
      <c r="A322" s="6" t="s">
        <v>34</v>
      </c>
      <c r="B322" s="6">
        <v>2021</v>
      </c>
      <c r="C322" s="6" t="s">
        <v>46</v>
      </c>
      <c r="D322" s="3">
        <v>148.69999999999999</v>
      </c>
      <c r="E322" s="3">
        <v>198.8</v>
      </c>
      <c r="F322" s="3">
        <v>177.9</v>
      </c>
      <c r="G322" s="3">
        <v>159.9</v>
      </c>
      <c r="H322" s="3">
        <v>187.6</v>
      </c>
      <c r="I322" s="3">
        <v>154.9</v>
      </c>
      <c r="J322" s="3">
        <v>188.3</v>
      </c>
      <c r="K322" s="3">
        <v>164.4</v>
      </c>
      <c r="L322" s="3">
        <v>121</v>
      </c>
      <c r="M322" s="3">
        <v>170.5</v>
      </c>
      <c r="N322" s="3">
        <v>164.2</v>
      </c>
      <c r="O322" s="3">
        <v>176.5</v>
      </c>
      <c r="P322" s="3">
        <v>168.2</v>
      </c>
      <c r="Q322" s="3">
        <v>192.4</v>
      </c>
      <c r="R322" s="3">
        <v>168.5</v>
      </c>
      <c r="S322" s="3">
        <v>158.69999999999999</v>
      </c>
      <c r="T322" s="3">
        <v>167</v>
      </c>
      <c r="U322" s="3">
        <v>163.4</v>
      </c>
      <c r="V322" s="3">
        <f t="shared" ref="V322:V373" si="48">IF(U322="NA",AVERAGE(U323,U324),U322)</f>
        <v>163.4</v>
      </c>
      <c r="W322" s="3">
        <v>164.1</v>
      </c>
      <c r="X322" s="3">
        <v>160.19999999999999</v>
      </c>
      <c r="Y322" s="3">
        <v>170.6</v>
      </c>
      <c r="Z322" s="3">
        <v>155.69999999999999</v>
      </c>
      <c r="AA322" s="3">
        <v>160.6</v>
      </c>
      <c r="AB322" s="3">
        <v>164.4</v>
      </c>
      <c r="AC322" s="3">
        <v>162.6</v>
      </c>
      <c r="AD322" s="3">
        <v>162</v>
      </c>
      <c r="AE322" s="3">
        <v>166.2</v>
      </c>
      <c r="AF322">
        <f t="shared" si="36"/>
        <v>2180.9</v>
      </c>
      <c r="AG322">
        <f t="shared" si="37"/>
        <v>494.2</v>
      </c>
      <c r="AH322">
        <f t="shared" si="38"/>
        <v>319.79999999999995</v>
      </c>
      <c r="AI322">
        <f t="shared" si="39"/>
        <v>488</v>
      </c>
      <c r="AJ322">
        <f t="shared" si="40"/>
        <v>333.2</v>
      </c>
      <c r="AK322">
        <f t="shared" si="41"/>
        <v>515</v>
      </c>
    </row>
    <row r="323" spans="1:37" x14ac:dyDescent="0.25">
      <c r="A323" s="6" t="s">
        <v>30</v>
      </c>
      <c r="B323" s="6">
        <v>2022</v>
      </c>
      <c r="C323" s="6" t="s">
        <v>31</v>
      </c>
      <c r="D323" s="3">
        <v>148.30000000000001</v>
      </c>
      <c r="E323" s="3">
        <v>196.9</v>
      </c>
      <c r="F323" s="3">
        <v>178</v>
      </c>
      <c r="G323" s="3">
        <v>160.5</v>
      </c>
      <c r="H323" s="3">
        <v>192.6</v>
      </c>
      <c r="I323" s="3">
        <v>151.19999999999999</v>
      </c>
      <c r="J323" s="3">
        <v>159.19999999999999</v>
      </c>
      <c r="K323" s="3">
        <v>164</v>
      </c>
      <c r="L323" s="3">
        <v>119.3</v>
      </c>
      <c r="M323" s="3">
        <v>173.3</v>
      </c>
      <c r="N323" s="3">
        <v>169.8</v>
      </c>
      <c r="O323" s="3">
        <v>175.8</v>
      </c>
      <c r="P323" s="3">
        <v>164.1</v>
      </c>
      <c r="Q323" s="3">
        <v>190.7</v>
      </c>
      <c r="R323" s="3">
        <v>173.2</v>
      </c>
      <c r="S323" s="3">
        <v>169.3</v>
      </c>
      <c r="T323" s="3">
        <v>172.7</v>
      </c>
      <c r="U323" s="3" t="s">
        <v>32</v>
      </c>
      <c r="V323" s="3">
        <f t="shared" si="48"/>
        <v>164.5</v>
      </c>
      <c r="W323" s="3">
        <v>165.8</v>
      </c>
      <c r="X323" s="3">
        <v>164.9</v>
      </c>
      <c r="Y323" s="3">
        <v>174.7</v>
      </c>
      <c r="Z323" s="3">
        <v>160.80000000000001</v>
      </c>
      <c r="AA323" s="3">
        <v>164.9</v>
      </c>
      <c r="AB323" s="3">
        <v>169.9</v>
      </c>
      <c r="AC323" s="3">
        <v>163.19999999999999</v>
      </c>
      <c r="AD323" s="3">
        <v>166.6</v>
      </c>
      <c r="AE323" s="3">
        <v>166.4</v>
      </c>
      <c r="AF323">
        <f t="shared" ref="AF323:AF373" si="49">SUM(D323,E323,F323,G323,H323,I323,J323,K323,L323,M323,N323,O323,P323)</f>
        <v>2153</v>
      </c>
      <c r="AG323">
        <f t="shared" ref="AG323:AG373" si="50">SUM(R323,S323,T323)</f>
        <v>515.20000000000005</v>
      </c>
      <c r="AH323">
        <f t="shared" ref="AH323:AH373" si="51">SUM(W323,Z323)</f>
        <v>326.60000000000002</v>
      </c>
      <c r="AI323">
        <f t="shared" ref="AI323:AI373" si="52">SUM(V323,X323,AB323)</f>
        <v>499.29999999999995</v>
      </c>
      <c r="AJ323">
        <f t="shared" ref="AJ323:AJ373" si="53">SUM(Y323,AC323)</f>
        <v>337.9</v>
      </c>
      <c r="AK323">
        <f t="shared" ref="AK323:AK373" si="54">SUM(Q323,AA323,AD323)</f>
        <v>522.20000000000005</v>
      </c>
    </row>
    <row r="324" spans="1:37" x14ac:dyDescent="0.25">
      <c r="A324" s="6" t="s">
        <v>33</v>
      </c>
      <c r="B324" s="6">
        <v>2022</v>
      </c>
      <c r="C324" s="6" t="s">
        <v>31</v>
      </c>
      <c r="D324" s="3">
        <v>152.19999999999999</v>
      </c>
      <c r="E324" s="3">
        <v>202.1</v>
      </c>
      <c r="F324" s="3">
        <v>180.1</v>
      </c>
      <c r="G324" s="3">
        <v>160.4</v>
      </c>
      <c r="H324" s="3">
        <v>171</v>
      </c>
      <c r="I324" s="3">
        <v>156.5</v>
      </c>
      <c r="J324" s="3">
        <v>203.6</v>
      </c>
      <c r="K324" s="3">
        <v>163.80000000000001</v>
      </c>
      <c r="L324" s="3">
        <v>121.3</v>
      </c>
      <c r="M324" s="3">
        <v>169.8</v>
      </c>
      <c r="N324" s="3">
        <v>156.6</v>
      </c>
      <c r="O324" s="3">
        <v>179</v>
      </c>
      <c r="P324" s="3">
        <v>170.3</v>
      </c>
      <c r="Q324" s="3">
        <v>196.4</v>
      </c>
      <c r="R324" s="3">
        <v>164.7</v>
      </c>
      <c r="S324" s="3">
        <v>148.5</v>
      </c>
      <c r="T324" s="3">
        <v>162.19999999999999</v>
      </c>
      <c r="U324" s="3">
        <v>164.5</v>
      </c>
      <c r="V324" s="3">
        <f t="shared" si="48"/>
        <v>164.5</v>
      </c>
      <c r="W324" s="3">
        <v>161.6</v>
      </c>
      <c r="X324" s="3">
        <v>156.80000000000001</v>
      </c>
      <c r="Y324" s="3">
        <v>166.1</v>
      </c>
      <c r="Z324" s="3">
        <v>152.69999999999999</v>
      </c>
      <c r="AA324" s="3">
        <v>158.4</v>
      </c>
      <c r="AB324" s="3">
        <v>161</v>
      </c>
      <c r="AC324" s="3">
        <v>162.80000000000001</v>
      </c>
      <c r="AD324" s="3">
        <v>158.6</v>
      </c>
      <c r="AE324" s="3">
        <v>165</v>
      </c>
      <c r="AF324">
        <f t="shared" si="49"/>
        <v>2186.6999999999998</v>
      </c>
      <c r="AG324">
        <f t="shared" si="50"/>
        <v>475.4</v>
      </c>
      <c r="AH324">
        <f t="shared" si="51"/>
        <v>314.29999999999995</v>
      </c>
      <c r="AI324">
        <f t="shared" si="52"/>
        <v>482.3</v>
      </c>
      <c r="AJ324">
        <f t="shared" si="53"/>
        <v>328.9</v>
      </c>
      <c r="AK324">
        <f t="shared" si="54"/>
        <v>513.4</v>
      </c>
    </row>
    <row r="325" spans="1:37" x14ac:dyDescent="0.25">
      <c r="A325" s="6" t="s">
        <v>34</v>
      </c>
      <c r="B325" s="6">
        <v>2022</v>
      </c>
      <c r="C325" s="6" t="s">
        <v>31</v>
      </c>
      <c r="D325" s="3">
        <v>149.5</v>
      </c>
      <c r="E325" s="3">
        <v>198.7</v>
      </c>
      <c r="F325" s="3">
        <v>178.8</v>
      </c>
      <c r="G325" s="3">
        <v>160.5</v>
      </c>
      <c r="H325" s="3">
        <v>184.7</v>
      </c>
      <c r="I325" s="3">
        <v>153.69999999999999</v>
      </c>
      <c r="J325" s="3">
        <v>174.3</v>
      </c>
      <c r="K325" s="3">
        <v>163.9</v>
      </c>
      <c r="L325" s="3">
        <v>120</v>
      </c>
      <c r="M325" s="3">
        <v>172.1</v>
      </c>
      <c r="N325" s="3">
        <v>164.3</v>
      </c>
      <c r="O325" s="3">
        <v>177.3</v>
      </c>
      <c r="P325" s="3">
        <v>166.4</v>
      </c>
      <c r="Q325" s="3">
        <v>192.2</v>
      </c>
      <c r="R325" s="3">
        <v>169.9</v>
      </c>
      <c r="S325" s="3">
        <v>160.69999999999999</v>
      </c>
      <c r="T325" s="3">
        <v>168.5</v>
      </c>
      <c r="U325" s="3">
        <v>164.5</v>
      </c>
      <c r="V325" s="3">
        <f t="shared" si="48"/>
        <v>164.5</v>
      </c>
      <c r="W325" s="3">
        <v>164.2</v>
      </c>
      <c r="X325" s="3">
        <v>161.1</v>
      </c>
      <c r="Y325" s="3">
        <v>171.4</v>
      </c>
      <c r="Z325" s="3">
        <v>156.5</v>
      </c>
      <c r="AA325" s="3">
        <v>161.19999999999999</v>
      </c>
      <c r="AB325" s="3">
        <v>164.7</v>
      </c>
      <c r="AC325" s="3">
        <v>163</v>
      </c>
      <c r="AD325" s="3">
        <v>162.69999999999999</v>
      </c>
      <c r="AE325" s="3">
        <v>165.7</v>
      </c>
      <c r="AF325">
        <f t="shared" si="49"/>
        <v>2164.1999999999998</v>
      </c>
      <c r="AG325">
        <f t="shared" si="50"/>
        <v>499.1</v>
      </c>
      <c r="AH325">
        <f t="shared" si="51"/>
        <v>320.7</v>
      </c>
      <c r="AI325">
        <f t="shared" si="52"/>
        <v>490.3</v>
      </c>
      <c r="AJ325">
        <f t="shared" si="53"/>
        <v>334.4</v>
      </c>
      <c r="AK325">
        <f t="shared" si="54"/>
        <v>516.09999999999991</v>
      </c>
    </row>
    <row r="326" spans="1:37" x14ac:dyDescent="0.25">
      <c r="A326" s="6" t="s">
        <v>30</v>
      </c>
      <c r="B326" s="6">
        <v>2022</v>
      </c>
      <c r="C326" s="6" t="s">
        <v>35</v>
      </c>
      <c r="D326" s="3">
        <v>148.80000000000001</v>
      </c>
      <c r="E326" s="3">
        <v>198.1</v>
      </c>
      <c r="F326" s="3">
        <v>175.5</v>
      </c>
      <c r="G326" s="3">
        <v>160.69999999999999</v>
      </c>
      <c r="H326" s="3">
        <v>192.6</v>
      </c>
      <c r="I326" s="3">
        <v>151.4</v>
      </c>
      <c r="J326" s="3">
        <v>155.19999999999999</v>
      </c>
      <c r="K326" s="3">
        <v>163.9</v>
      </c>
      <c r="L326" s="3">
        <v>118.1</v>
      </c>
      <c r="M326" s="3">
        <v>175.4</v>
      </c>
      <c r="N326" s="3">
        <v>170.5</v>
      </c>
      <c r="O326" s="3">
        <v>176.3</v>
      </c>
      <c r="P326" s="3">
        <v>163.9</v>
      </c>
      <c r="Q326" s="3">
        <v>191.5</v>
      </c>
      <c r="R326" s="3">
        <v>174.1</v>
      </c>
      <c r="S326" s="3">
        <v>171</v>
      </c>
      <c r="T326" s="3">
        <v>173.7</v>
      </c>
      <c r="U326" s="3" t="s">
        <v>32</v>
      </c>
      <c r="V326" s="3">
        <f t="shared" si="48"/>
        <v>165.5</v>
      </c>
      <c r="W326" s="3">
        <v>167.4</v>
      </c>
      <c r="X326" s="3">
        <v>165.7</v>
      </c>
      <c r="Y326" s="3">
        <v>175.3</v>
      </c>
      <c r="Z326" s="3">
        <v>161.19999999999999</v>
      </c>
      <c r="AA326" s="3">
        <v>165.5</v>
      </c>
      <c r="AB326" s="3">
        <v>170.3</v>
      </c>
      <c r="AC326" s="3">
        <v>164.5</v>
      </c>
      <c r="AD326" s="3">
        <v>167.3</v>
      </c>
      <c r="AE326" s="3">
        <v>166.7</v>
      </c>
      <c r="AF326">
        <f t="shared" si="49"/>
        <v>2150.4</v>
      </c>
      <c r="AG326">
        <f t="shared" si="50"/>
        <v>518.79999999999995</v>
      </c>
      <c r="AH326">
        <f t="shared" si="51"/>
        <v>328.6</v>
      </c>
      <c r="AI326">
        <f t="shared" si="52"/>
        <v>501.5</v>
      </c>
      <c r="AJ326">
        <f t="shared" si="53"/>
        <v>339.8</v>
      </c>
      <c r="AK326">
        <f t="shared" si="54"/>
        <v>524.29999999999995</v>
      </c>
    </row>
    <row r="327" spans="1:37" x14ac:dyDescent="0.25">
      <c r="A327" s="6" t="s">
        <v>33</v>
      </c>
      <c r="B327" s="6">
        <v>2022</v>
      </c>
      <c r="C327" s="6" t="s">
        <v>35</v>
      </c>
      <c r="D327" s="3">
        <v>152.5</v>
      </c>
      <c r="E327" s="3">
        <v>205.2</v>
      </c>
      <c r="F327" s="3">
        <v>176.4</v>
      </c>
      <c r="G327" s="3">
        <v>160.6</v>
      </c>
      <c r="H327" s="3">
        <v>171.5</v>
      </c>
      <c r="I327" s="3">
        <v>156.4</v>
      </c>
      <c r="J327" s="3">
        <v>198</v>
      </c>
      <c r="K327" s="3">
        <v>163.19999999999999</v>
      </c>
      <c r="L327" s="3">
        <v>120.6</v>
      </c>
      <c r="M327" s="3">
        <v>172.2</v>
      </c>
      <c r="N327" s="3">
        <v>156.69999999999999</v>
      </c>
      <c r="O327" s="3">
        <v>180</v>
      </c>
      <c r="P327" s="3">
        <v>170.2</v>
      </c>
      <c r="Q327" s="3">
        <v>196.5</v>
      </c>
      <c r="R327" s="3">
        <v>165.7</v>
      </c>
      <c r="S327" s="3">
        <v>150.4</v>
      </c>
      <c r="T327" s="3">
        <v>163.4</v>
      </c>
      <c r="U327" s="3">
        <v>165.5</v>
      </c>
      <c r="V327" s="3">
        <f t="shared" si="48"/>
        <v>165.5</v>
      </c>
      <c r="W327" s="3">
        <v>163</v>
      </c>
      <c r="X327" s="3">
        <v>157.4</v>
      </c>
      <c r="Y327" s="3">
        <v>167.2</v>
      </c>
      <c r="Z327" s="3">
        <v>153.1</v>
      </c>
      <c r="AA327" s="3">
        <v>159.5</v>
      </c>
      <c r="AB327" s="3">
        <v>162</v>
      </c>
      <c r="AC327" s="3">
        <v>164.2</v>
      </c>
      <c r="AD327" s="3">
        <v>159.4</v>
      </c>
      <c r="AE327" s="3">
        <v>165.5</v>
      </c>
      <c r="AF327">
        <f t="shared" si="49"/>
        <v>2183.5</v>
      </c>
      <c r="AG327">
        <f t="shared" si="50"/>
        <v>479.5</v>
      </c>
      <c r="AH327">
        <f t="shared" si="51"/>
        <v>316.10000000000002</v>
      </c>
      <c r="AI327">
        <f t="shared" si="52"/>
        <v>484.9</v>
      </c>
      <c r="AJ327">
        <f t="shared" si="53"/>
        <v>331.4</v>
      </c>
      <c r="AK327">
        <f t="shared" si="54"/>
        <v>515.4</v>
      </c>
    </row>
    <row r="328" spans="1:37" x14ac:dyDescent="0.25">
      <c r="A328" s="6" t="s">
        <v>34</v>
      </c>
      <c r="B328" s="6">
        <v>2022</v>
      </c>
      <c r="C328" s="6" t="s">
        <v>35</v>
      </c>
      <c r="D328" s="3">
        <v>150</v>
      </c>
      <c r="E328" s="3">
        <v>200.6</v>
      </c>
      <c r="F328" s="3">
        <v>175.8</v>
      </c>
      <c r="G328" s="3">
        <v>160.69999999999999</v>
      </c>
      <c r="H328" s="3">
        <v>184.9</v>
      </c>
      <c r="I328" s="3">
        <v>153.69999999999999</v>
      </c>
      <c r="J328" s="3">
        <v>169.7</v>
      </c>
      <c r="K328" s="3">
        <v>163.69999999999999</v>
      </c>
      <c r="L328" s="3">
        <v>118.9</v>
      </c>
      <c r="M328" s="3">
        <v>174.3</v>
      </c>
      <c r="N328" s="3">
        <v>164.7</v>
      </c>
      <c r="O328" s="3">
        <v>178</v>
      </c>
      <c r="P328" s="3">
        <v>166.2</v>
      </c>
      <c r="Q328" s="3">
        <v>192.8</v>
      </c>
      <c r="R328" s="3">
        <v>170.8</v>
      </c>
      <c r="S328" s="3">
        <v>162.4</v>
      </c>
      <c r="T328" s="3">
        <v>169.6</v>
      </c>
      <c r="U328" s="3">
        <v>165.5</v>
      </c>
      <c r="V328" s="3">
        <f t="shared" si="48"/>
        <v>165.5</v>
      </c>
      <c r="W328" s="3">
        <v>165.7</v>
      </c>
      <c r="X328" s="3">
        <v>161.80000000000001</v>
      </c>
      <c r="Y328" s="3">
        <v>172.2</v>
      </c>
      <c r="Z328" s="3">
        <v>156.9</v>
      </c>
      <c r="AA328" s="3">
        <v>162.1</v>
      </c>
      <c r="AB328" s="3">
        <v>165.4</v>
      </c>
      <c r="AC328" s="3">
        <v>164.4</v>
      </c>
      <c r="AD328" s="3">
        <v>163.5</v>
      </c>
      <c r="AE328" s="3">
        <v>166.1</v>
      </c>
      <c r="AF328">
        <f t="shared" si="49"/>
        <v>2161.2000000000003</v>
      </c>
      <c r="AG328">
        <f t="shared" si="50"/>
        <v>502.80000000000007</v>
      </c>
      <c r="AH328">
        <f t="shared" si="51"/>
        <v>322.60000000000002</v>
      </c>
      <c r="AI328">
        <f t="shared" si="52"/>
        <v>492.70000000000005</v>
      </c>
      <c r="AJ328">
        <f t="shared" si="53"/>
        <v>336.6</v>
      </c>
      <c r="AK328">
        <f t="shared" si="54"/>
        <v>518.4</v>
      </c>
    </row>
    <row r="329" spans="1:37" x14ac:dyDescent="0.25">
      <c r="A329" s="6" t="s">
        <v>30</v>
      </c>
      <c r="B329" s="6">
        <v>2022</v>
      </c>
      <c r="C329" s="6" t="s">
        <v>36</v>
      </c>
      <c r="D329" s="3">
        <v>150.19999999999999</v>
      </c>
      <c r="E329" s="3">
        <v>208</v>
      </c>
      <c r="F329" s="3">
        <v>167.9</v>
      </c>
      <c r="G329" s="3">
        <v>162</v>
      </c>
      <c r="H329" s="3">
        <v>203.1</v>
      </c>
      <c r="I329" s="3">
        <v>155.9</v>
      </c>
      <c r="J329" s="3">
        <v>155.80000000000001</v>
      </c>
      <c r="K329" s="3">
        <v>164.2</v>
      </c>
      <c r="L329" s="3">
        <v>118.1</v>
      </c>
      <c r="M329" s="3">
        <v>178.7</v>
      </c>
      <c r="N329" s="3">
        <v>171.2</v>
      </c>
      <c r="O329" s="3">
        <v>177.4</v>
      </c>
      <c r="P329" s="3">
        <v>166.6</v>
      </c>
      <c r="Q329" s="3">
        <v>192.3</v>
      </c>
      <c r="R329" s="3">
        <v>175.4</v>
      </c>
      <c r="S329" s="3">
        <v>173.2</v>
      </c>
      <c r="T329" s="3">
        <v>175.1</v>
      </c>
      <c r="U329" s="3" t="s">
        <v>32</v>
      </c>
      <c r="V329" s="3">
        <f t="shared" si="48"/>
        <v>165.3</v>
      </c>
      <c r="W329" s="3">
        <v>168.9</v>
      </c>
      <c r="X329" s="3">
        <v>166.5</v>
      </c>
      <c r="Y329" s="3">
        <v>176</v>
      </c>
      <c r="Z329" s="3">
        <v>162</v>
      </c>
      <c r="AA329" s="3">
        <v>166.6</v>
      </c>
      <c r="AB329" s="3">
        <v>170.6</v>
      </c>
      <c r="AC329" s="3">
        <v>167.4</v>
      </c>
      <c r="AD329" s="3">
        <v>168.3</v>
      </c>
      <c r="AE329" s="3">
        <v>168.7</v>
      </c>
      <c r="AF329">
        <f t="shared" si="49"/>
        <v>2179.1000000000004</v>
      </c>
      <c r="AG329">
        <f t="shared" si="50"/>
        <v>523.70000000000005</v>
      </c>
      <c r="AH329">
        <f t="shared" si="51"/>
        <v>330.9</v>
      </c>
      <c r="AI329">
        <f t="shared" si="52"/>
        <v>502.4</v>
      </c>
      <c r="AJ329">
        <f t="shared" si="53"/>
        <v>343.4</v>
      </c>
      <c r="AK329">
        <f t="shared" si="54"/>
        <v>527.20000000000005</v>
      </c>
    </row>
    <row r="330" spans="1:37" x14ac:dyDescent="0.25">
      <c r="A330" s="6" t="s">
        <v>33</v>
      </c>
      <c r="B330" s="6">
        <v>2022</v>
      </c>
      <c r="C330" s="6" t="s">
        <v>36</v>
      </c>
      <c r="D330" s="3">
        <v>153.69999999999999</v>
      </c>
      <c r="E330" s="3">
        <v>215.8</v>
      </c>
      <c r="F330" s="3">
        <v>167.7</v>
      </c>
      <c r="G330" s="3">
        <v>162.6</v>
      </c>
      <c r="H330" s="3">
        <v>180</v>
      </c>
      <c r="I330" s="3">
        <v>159.6</v>
      </c>
      <c r="J330" s="3">
        <v>188.4</v>
      </c>
      <c r="K330" s="3">
        <v>163.4</v>
      </c>
      <c r="L330" s="3">
        <v>120.3</v>
      </c>
      <c r="M330" s="3">
        <v>174.7</v>
      </c>
      <c r="N330" s="3">
        <v>157.1</v>
      </c>
      <c r="O330" s="3">
        <v>181.5</v>
      </c>
      <c r="P330" s="3">
        <v>171.5</v>
      </c>
      <c r="Q330" s="3">
        <v>197.5</v>
      </c>
      <c r="R330" s="3">
        <v>167.1</v>
      </c>
      <c r="S330" s="3">
        <v>152.6</v>
      </c>
      <c r="T330" s="3">
        <v>164.9</v>
      </c>
      <c r="U330" s="3">
        <v>165.3</v>
      </c>
      <c r="V330" s="3">
        <f t="shared" si="48"/>
        <v>165.3</v>
      </c>
      <c r="W330" s="3">
        <v>164.5</v>
      </c>
      <c r="X330" s="3">
        <v>158.6</v>
      </c>
      <c r="Y330" s="3">
        <v>168.2</v>
      </c>
      <c r="Z330" s="3">
        <v>154.19999999999999</v>
      </c>
      <c r="AA330" s="3">
        <v>160.80000000000001</v>
      </c>
      <c r="AB330" s="3">
        <v>162.69999999999999</v>
      </c>
      <c r="AC330" s="3">
        <v>166.8</v>
      </c>
      <c r="AD330" s="3">
        <v>160.6</v>
      </c>
      <c r="AE330" s="3">
        <v>166.5</v>
      </c>
      <c r="AF330">
        <f t="shared" si="49"/>
        <v>2196.3000000000002</v>
      </c>
      <c r="AG330">
        <f t="shared" si="50"/>
        <v>484.6</v>
      </c>
      <c r="AH330">
        <f t="shared" si="51"/>
        <v>318.7</v>
      </c>
      <c r="AI330">
        <f t="shared" si="52"/>
        <v>486.59999999999997</v>
      </c>
      <c r="AJ330">
        <f t="shared" si="53"/>
        <v>335</v>
      </c>
      <c r="AK330">
        <f t="shared" si="54"/>
        <v>518.9</v>
      </c>
    </row>
    <row r="331" spans="1:37" x14ac:dyDescent="0.25">
      <c r="A331" s="6" t="s">
        <v>34</v>
      </c>
      <c r="B331" s="6">
        <v>2022</v>
      </c>
      <c r="C331" s="6" t="s">
        <v>36</v>
      </c>
      <c r="D331" s="3">
        <v>151.30000000000001</v>
      </c>
      <c r="E331" s="3">
        <v>210.7</v>
      </c>
      <c r="F331" s="3">
        <v>167.8</v>
      </c>
      <c r="G331" s="3">
        <v>162.19999999999999</v>
      </c>
      <c r="H331" s="3">
        <v>194.6</v>
      </c>
      <c r="I331" s="3">
        <v>157.6</v>
      </c>
      <c r="J331" s="3">
        <v>166.9</v>
      </c>
      <c r="K331" s="3">
        <v>163.9</v>
      </c>
      <c r="L331" s="3">
        <v>118.8</v>
      </c>
      <c r="M331" s="3">
        <v>177.4</v>
      </c>
      <c r="N331" s="3">
        <v>165.3</v>
      </c>
      <c r="O331" s="3">
        <v>179.3</v>
      </c>
      <c r="P331" s="3">
        <v>168.4</v>
      </c>
      <c r="Q331" s="3">
        <v>193.7</v>
      </c>
      <c r="R331" s="3">
        <v>172.1</v>
      </c>
      <c r="S331" s="3">
        <v>164.6</v>
      </c>
      <c r="T331" s="3">
        <v>171.1</v>
      </c>
      <c r="U331" s="3">
        <v>165.3</v>
      </c>
      <c r="V331" s="3">
        <f t="shared" si="48"/>
        <v>165.3</v>
      </c>
      <c r="W331" s="3">
        <v>167.2</v>
      </c>
      <c r="X331" s="3">
        <v>162.80000000000001</v>
      </c>
      <c r="Y331" s="3">
        <v>173</v>
      </c>
      <c r="Z331" s="3">
        <v>157.9</v>
      </c>
      <c r="AA331" s="3">
        <v>163.30000000000001</v>
      </c>
      <c r="AB331" s="3">
        <v>166</v>
      </c>
      <c r="AC331" s="3">
        <v>167.2</v>
      </c>
      <c r="AD331" s="3">
        <v>164.6</v>
      </c>
      <c r="AE331" s="3">
        <v>167.7</v>
      </c>
      <c r="AF331">
        <f t="shared" si="49"/>
        <v>2184.2000000000003</v>
      </c>
      <c r="AG331">
        <f t="shared" si="50"/>
        <v>507.79999999999995</v>
      </c>
      <c r="AH331">
        <f t="shared" si="51"/>
        <v>325.10000000000002</v>
      </c>
      <c r="AI331">
        <f t="shared" si="52"/>
        <v>494.1</v>
      </c>
      <c r="AJ331">
        <f t="shared" si="53"/>
        <v>340.2</v>
      </c>
      <c r="AK331">
        <f t="shared" si="54"/>
        <v>521.6</v>
      </c>
    </row>
    <row r="332" spans="1:37" x14ac:dyDescent="0.25">
      <c r="A332" s="6" t="s">
        <v>30</v>
      </c>
      <c r="B332" s="6">
        <v>2022</v>
      </c>
      <c r="C332" s="6" t="s">
        <v>37</v>
      </c>
      <c r="D332" s="3">
        <v>151.80000000000001</v>
      </c>
      <c r="E332" s="3">
        <v>209.7</v>
      </c>
      <c r="F332" s="3">
        <v>164.5</v>
      </c>
      <c r="G332" s="3">
        <v>163.80000000000001</v>
      </c>
      <c r="H332" s="3">
        <v>207.4</v>
      </c>
      <c r="I332" s="3">
        <v>169.7</v>
      </c>
      <c r="J332" s="3">
        <v>153.6</v>
      </c>
      <c r="K332" s="3">
        <v>165.1</v>
      </c>
      <c r="L332" s="3">
        <v>118.2</v>
      </c>
      <c r="M332" s="3">
        <v>182.9</v>
      </c>
      <c r="N332" s="3">
        <v>172.4</v>
      </c>
      <c r="O332" s="3">
        <v>178.9</v>
      </c>
      <c r="P332" s="3">
        <v>168.6</v>
      </c>
      <c r="Q332" s="3">
        <v>192.8</v>
      </c>
      <c r="R332" s="3">
        <v>177.5</v>
      </c>
      <c r="S332" s="3">
        <v>175.1</v>
      </c>
      <c r="T332" s="3">
        <v>177.1</v>
      </c>
      <c r="U332" s="3" t="s">
        <v>32</v>
      </c>
      <c r="V332" s="3">
        <f t="shared" si="48"/>
        <v>167</v>
      </c>
      <c r="W332" s="3">
        <v>173.3</v>
      </c>
      <c r="X332" s="3">
        <v>167.7</v>
      </c>
      <c r="Y332" s="3">
        <v>177</v>
      </c>
      <c r="Z332" s="3">
        <v>166.2</v>
      </c>
      <c r="AA332" s="3">
        <v>167.2</v>
      </c>
      <c r="AB332" s="3">
        <v>170.9</v>
      </c>
      <c r="AC332" s="3">
        <v>169</v>
      </c>
      <c r="AD332" s="3">
        <v>170.2</v>
      </c>
      <c r="AE332" s="3">
        <v>170.8</v>
      </c>
      <c r="AF332">
        <f t="shared" si="49"/>
        <v>2206.6</v>
      </c>
      <c r="AG332">
        <f t="shared" si="50"/>
        <v>529.70000000000005</v>
      </c>
      <c r="AH332">
        <f t="shared" si="51"/>
        <v>339.5</v>
      </c>
      <c r="AI332">
        <f t="shared" si="52"/>
        <v>505.6</v>
      </c>
      <c r="AJ332">
        <f t="shared" si="53"/>
        <v>346</v>
      </c>
      <c r="AK332">
        <f t="shared" si="54"/>
        <v>530.20000000000005</v>
      </c>
    </row>
    <row r="333" spans="1:37" x14ac:dyDescent="0.25">
      <c r="A333" s="6" t="s">
        <v>33</v>
      </c>
      <c r="B333" s="6">
        <v>2022</v>
      </c>
      <c r="C333" s="6" t="s">
        <v>37</v>
      </c>
      <c r="D333" s="3">
        <v>155.4</v>
      </c>
      <c r="E333" s="3">
        <v>215.8</v>
      </c>
      <c r="F333" s="3">
        <v>164.6</v>
      </c>
      <c r="G333" s="3">
        <v>164.2</v>
      </c>
      <c r="H333" s="3">
        <v>186</v>
      </c>
      <c r="I333" s="3">
        <v>175.9</v>
      </c>
      <c r="J333" s="3">
        <v>190.7</v>
      </c>
      <c r="K333" s="3">
        <v>164</v>
      </c>
      <c r="L333" s="3">
        <v>120.5</v>
      </c>
      <c r="M333" s="3">
        <v>178</v>
      </c>
      <c r="N333" s="3">
        <v>157.5</v>
      </c>
      <c r="O333" s="3">
        <v>183.3</v>
      </c>
      <c r="P333" s="3">
        <v>174.5</v>
      </c>
      <c r="Q333" s="3">
        <v>197.1</v>
      </c>
      <c r="R333" s="3">
        <v>168.4</v>
      </c>
      <c r="S333" s="3">
        <v>154.5</v>
      </c>
      <c r="T333" s="3">
        <v>166.3</v>
      </c>
      <c r="U333" s="3">
        <v>167</v>
      </c>
      <c r="V333" s="3">
        <f t="shared" si="48"/>
        <v>167</v>
      </c>
      <c r="W333" s="3">
        <v>170.5</v>
      </c>
      <c r="X333" s="3">
        <v>159.80000000000001</v>
      </c>
      <c r="Y333" s="3">
        <v>169</v>
      </c>
      <c r="Z333" s="3">
        <v>159.30000000000001</v>
      </c>
      <c r="AA333" s="3">
        <v>162.19999999999999</v>
      </c>
      <c r="AB333" s="3">
        <v>164</v>
      </c>
      <c r="AC333" s="3">
        <v>168.4</v>
      </c>
      <c r="AD333" s="3">
        <v>163.1</v>
      </c>
      <c r="AE333" s="3">
        <v>169.2</v>
      </c>
      <c r="AF333">
        <f t="shared" si="49"/>
        <v>2230.4</v>
      </c>
      <c r="AG333">
        <f t="shared" si="50"/>
        <v>489.2</v>
      </c>
      <c r="AH333">
        <f t="shared" si="51"/>
        <v>329.8</v>
      </c>
      <c r="AI333">
        <f t="shared" si="52"/>
        <v>490.8</v>
      </c>
      <c r="AJ333">
        <f t="shared" si="53"/>
        <v>337.4</v>
      </c>
      <c r="AK333">
        <f t="shared" si="54"/>
        <v>522.4</v>
      </c>
    </row>
    <row r="334" spans="1:37" x14ac:dyDescent="0.25">
      <c r="A334" s="6" t="s">
        <v>34</v>
      </c>
      <c r="B334" s="6">
        <v>2022</v>
      </c>
      <c r="C334" s="6" t="s">
        <v>37</v>
      </c>
      <c r="D334" s="3">
        <v>152.9</v>
      </c>
      <c r="E334" s="3">
        <v>211.8</v>
      </c>
      <c r="F334" s="3">
        <v>164.5</v>
      </c>
      <c r="G334" s="3">
        <v>163.9</v>
      </c>
      <c r="H334" s="3">
        <v>199.5</v>
      </c>
      <c r="I334" s="3">
        <v>172.6</v>
      </c>
      <c r="J334" s="3">
        <v>166.2</v>
      </c>
      <c r="K334" s="3">
        <v>164.7</v>
      </c>
      <c r="L334" s="3">
        <v>119</v>
      </c>
      <c r="M334" s="3">
        <v>181.3</v>
      </c>
      <c r="N334" s="3">
        <v>166.2</v>
      </c>
      <c r="O334" s="3">
        <v>180.9</v>
      </c>
      <c r="P334" s="3">
        <v>170.8</v>
      </c>
      <c r="Q334" s="3">
        <v>193.9</v>
      </c>
      <c r="R334" s="3">
        <v>173.9</v>
      </c>
      <c r="S334" s="3">
        <v>166.5</v>
      </c>
      <c r="T334" s="3">
        <v>172.8</v>
      </c>
      <c r="U334" s="3">
        <v>167</v>
      </c>
      <c r="V334" s="3">
        <f t="shared" si="48"/>
        <v>167</v>
      </c>
      <c r="W334" s="3">
        <v>172.2</v>
      </c>
      <c r="X334" s="3">
        <v>164</v>
      </c>
      <c r="Y334" s="3">
        <v>174</v>
      </c>
      <c r="Z334" s="3">
        <v>162.6</v>
      </c>
      <c r="AA334" s="3">
        <v>164.4</v>
      </c>
      <c r="AB334" s="3">
        <v>166.9</v>
      </c>
      <c r="AC334" s="3">
        <v>168.8</v>
      </c>
      <c r="AD334" s="3">
        <v>166.8</v>
      </c>
      <c r="AE334" s="3">
        <v>170.1</v>
      </c>
      <c r="AF334">
        <f t="shared" si="49"/>
        <v>2214.3000000000002</v>
      </c>
      <c r="AG334">
        <f t="shared" si="50"/>
        <v>513.20000000000005</v>
      </c>
      <c r="AH334">
        <f t="shared" si="51"/>
        <v>334.79999999999995</v>
      </c>
      <c r="AI334">
        <f t="shared" si="52"/>
        <v>497.9</v>
      </c>
      <c r="AJ334">
        <f t="shared" si="53"/>
        <v>342.8</v>
      </c>
      <c r="AK334">
        <f t="shared" si="54"/>
        <v>525.1</v>
      </c>
    </row>
    <row r="335" spans="1:37" x14ac:dyDescent="0.25">
      <c r="A335" s="6" t="s">
        <v>30</v>
      </c>
      <c r="B335" s="6">
        <v>2022</v>
      </c>
      <c r="C335" s="6" t="s">
        <v>38</v>
      </c>
      <c r="D335" s="3">
        <v>152.9</v>
      </c>
      <c r="E335" s="3">
        <v>214.7</v>
      </c>
      <c r="F335" s="3">
        <v>161.4</v>
      </c>
      <c r="G335" s="3">
        <v>164.6</v>
      </c>
      <c r="H335" s="3">
        <v>209.9</v>
      </c>
      <c r="I335" s="3">
        <v>168</v>
      </c>
      <c r="J335" s="3">
        <v>160.4</v>
      </c>
      <c r="K335" s="3">
        <v>165</v>
      </c>
      <c r="L335" s="3">
        <v>118.9</v>
      </c>
      <c r="M335" s="3">
        <v>186.6</v>
      </c>
      <c r="N335" s="3">
        <v>173.2</v>
      </c>
      <c r="O335" s="3">
        <v>180.4</v>
      </c>
      <c r="P335" s="3">
        <v>170.8</v>
      </c>
      <c r="Q335" s="3">
        <v>192.9</v>
      </c>
      <c r="R335" s="3">
        <v>179.3</v>
      </c>
      <c r="S335" s="3">
        <v>177.2</v>
      </c>
      <c r="T335" s="3">
        <v>179</v>
      </c>
      <c r="U335" s="3" t="s">
        <v>32</v>
      </c>
      <c r="V335" s="3">
        <f t="shared" si="48"/>
        <v>167.5</v>
      </c>
      <c r="W335" s="3">
        <v>175.3</v>
      </c>
      <c r="X335" s="3">
        <v>168.9</v>
      </c>
      <c r="Y335" s="3">
        <v>177.7</v>
      </c>
      <c r="Z335" s="3">
        <v>167.1</v>
      </c>
      <c r="AA335" s="3">
        <v>167.6</v>
      </c>
      <c r="AB335" s="3">
        <v>171.8</v>
      </c>
      <c r="AC335" s="3">
        <v>168.5</v>
      </c>
      <c r="AD335" s="3">
        <v>170.9</v>
      </c>
      <c r="AE335" s="3">
        <v>172.5</v>
      </c>
      <c r="AF335">
        <f t="shared" si="49"/>
        <v>2226.8000000000002</v>
      </c>
      <c r="AG335">
        <f t="shared" si="50"/>
        <v>535.5</v>
      </c>
      <c r="AH335">
        <f t="shared" si="51"/>
        <v>342.4</v>
      </c>
      <c r="AI335">
        <f t="shared" si="52"/>
        <v>508.2</v>
      </c>
      <c r="AJ335">
        <f t="shared" si="53"/>
        <v>346.2</v>
      </c>
      <c r="AK335">
        <f t="shared" si="54"/>
        <v>531.4</v>
      </c>
    </row>
    <row r="336" spans="1:37" x14ac:dyDescent="0.25">
      <c r="A336" s="6" t="s">
        <v>33</v>
      </c>
      <c r="B336" s="6">
        <v>2022</v>
      </c>
      <c r="C336" s="6" t="s">
        <v>38</v>
      </c>
      <c r="D336" s="3">
        <v>156.69999999999999</v>
      </c>
      <c r="E336" s="3">
        <v>221.2</v>
      </c>
      <c r="F336" s="3">
        <v>164.1</v>
      </c>
      <c r="G336" s="3">
        <v>165.4</v>
      </c>
      <c r="H336" s="3">
        <v>189.5</v>
      </c>
      <c r="I336" s="3">
        <v>174.5</v>
      </c>
      <c r="J336" s="3">
        <v>203.2</v>
      </c>
      <c r="K336" s="3">
        <v>164.1</v>
      </c>
      <c r="L336" s="3">
        <v>121.2</v>
      </c>
      <c r="M336" s="3">
        <v>181.4</v>
      </c>
      <c r="N336" s="3">
        <v>158.5</v>
      </c>
      <c r="O336" s="3">
        <v>184.9</v>
      </c>
      <c r="P336" s="3">
        <v>177.5</v>
      </c>
      <c r="Q336" s="3">
        <v>197.5</v>
      </c>
      <c r="R336" s="3">
        <v>170</v>
      </c>
      <c r="S336" s="3">
        <v>155.9</v>
      </c>
      <c r="T336" s="3">
        <v>167.8</v>
      </c>
      <c r="U336" s="3">
        <v>167.5</v>
      </c>
      <c r="V336" s="3">
        <f t="shared" si="48"/>
        <v>167.5</v>
      </c>
      <c r="W336" s="3">
        <v>173.5</v>
      </c>
      <c r="X336" s="3">
        <v>161.1</v>
      </c>
      <c r="Y336" s="3">
        <v>170.1</v>
      </c>
      <c r="Z336" s="3">
        <v>159.4</v>
      </c>
      <c r="AA336" s="3">
        <v>163.19999999999999</v>
      </c>
      <c r="AB336" s="3">
        <v>165.2</v>
      </c>
      <c r="AC336" s="3">
        <v>168.2</v>
      </c>
      <c r="AD336" s="3">
        <v>163.80000000000001</v>
      </c>
      <c r="AE336" s="3">
        <v>170.8</v>
      </c>
      <c r="AF336">
        <f t="shared" si="49"/>
        <v>2262.2000000000003</v>
      </c>
      <c r="AG336">
        <f t="shared" si="50"/>
        <v>493.7</v>
      </c>
      <c r="AH336">
        <f t="shared" si="51"/>
        <v>332.9</v>
      </c>
      <c r="AI336">
        <f t="shared" si="52"/>
        <v>493.8</v>
      </c>
      <c r="AJ336">
        <f t="shared" si="53"/>
        <v>338.29999999999995</v>
      </c>
      <c r="AK336">
        <f t="shared" si="54"/>
        <v>524.5</v>
      </c>
    </row>
    <row r="337" spans="1:37" x14ac:dyDescent="0.25">
      <c r="A337" s="6" t="s">
        <v>34</v>
      </c>
      <c r="B337" s="6">
        <v>2022</v>
      </c>
      <c r="C337" s="6" t="s">
        <v>38</v>
      </c>
      <c r="D337" s="3">
        <v>154.1</v>
      </c>
      <c r="E337" s="3">
        <v>217</v>
      </c>
      <c r="F337" s="3">
        <v>162.4</v>
      </c>
      <c r="G337" s="3">
        <v>164.9</v>
      </c>
      <c r="H337" s="3">
        <v>202.4</v>
      </c>
      <c r="I337" s="3">
        <v>171</v>
      </c>
      <c r="J337" s="3">
        <v>174.9</v>
      </c>
      <c r="K337" s="3">
        <v>164.7</v>
      </c>
      <c r="L337" s="3">
        <v>119.7</v>
      </c>
      <c r="M337" s="3">
        <v>184.9</v>
      </c>
      <c r="N337" s="3">
        <v>167.1</v>
      </c>
      <c r="O337" s="3">
        <v>182.5</v>
      </c>
      <c r="P337" s="3">
        <v>173.3</v>
      </c>
      <c r="Q337" s="3">
        <v>194.1</v>
      </c>
      <c r="R337" s="3">
        <v>175.6</v>
      </c>
      <c r="S337" s="3">
        <v>168.4</v>
      </c>
      <c r="T337" s="3">
        <v>174.6</v>
      </c>
      <c r="U337" s="3">
        <v>167.5</v>
      </c>
      <c r="V337" s="3">
        <f t="shared" si="48"/>
        <v>167.5</v>
      </c>
      <c r="W337" s="3">
        <v>174.6</v>
      </c>
      <c r="X337" s="3">
        <v>165.2</v>
      </c>
      <c r="Y337" s="3">
        <v>174.8</v>
      </c>
      <c r="Z337" s="3">
        <v>163</v>
      </c>
      <c r="AA337" s="3">
        <v>165.1</v>
      </c>
      <c r="AB337" s="3">
        <v>167.9</v>
      </c>
      <c r="AC337" s="3">
        <v>168.4</v>
      </c>
      <c r="AD337" s="3">
        <v>167.5</v>
      </c>
      <c r="AE337" s="3">
        <v>171.7</v>
      </c>
      <c r="AF337">
        <f t="shared" si="49"/>
        <v>2238.9000000000005</v>
      </c>
      <c r="AG337">
        <f t="shared" si="50"/>
        <v>518.6</v>
      </c>
      <c r="AH337">
        <f t="shared" si="51"/>
        <v>337.6</v>
      </c>
      <c r="AI337">
        <f t="shared" si="52"/>
        <v>500.6</v>
      </c>
      <c r="AJ337">
        <f t="shared" si="53"/>
        <v>343.20000000000005</v>
      </c>
      <c r="AK337">
        <f t="shared" si="54"/>
        <v>526.70000000000005</v>
      </c>
    </row>
    <row r="338" spans="1:37" x14ac:dyDescent="0.25">
      <c r="A338" s="6" t="s">
        <v>30</v>
      </c>
      <c r="B338" s="6">
        <v>2022</v>
      </c>
      <c r="C338" s="6" t="s">
        <v>39</v>
      </c>
      <c r="D338" s="3">
        <v>153.80000000000001</v>
      </c>
      <c r="E338" s="3">
        <v>217.2</v>
      </c>
      <c r="F338" s="3">
        <v>169.6</v>
      </c>
      <c r="G338" s="3">
        <v>165.4</v>
      </c>
      <c r="H338" s="3">
        <v>208.1</v>
      </c>
      <c r="I338" s="3">
        <v>165.8</v>
      </c>
      <c r="J338" s="3">
        <v>167.3</v>
      </c>
      <c r="K338" s="3">
        <v>164.6</v>
      </c>
      <c r="L338" s="3">
        <v>119.1</v>
      </c>
      <c r="M338" s="3">
        <v>188.9</v>
      </c>
      <c r="N338" s="3">
        <v>174.2</v>
      </c>
      <c r="O338" s="3">
        <v>181.9</v>
      </c>
      <c r="P338" s="3">
        <v>172.4</v>
      </c>
      <c r="Q338" s="3">
        <v>192.9</v>
      </c>
      <c r="R338" s="3">
        <v>180.7</v>
      </c>
      <c r="S338" s="3">
        <v>178.7</v>
      </c>
      <c r="T338" s="3">
        <v>180.4</v>
      </c>
      <c r="U338" s="3" t="s">
        <v>32</v>
      </c>
      <c r="V338" s="3">
        <f t="shared" si="48"/>
        <v>166.8</v>
      </c>
      <c r="W338" s="3">
        <v>176.7</v>
      </c>
      <c r="X338" s="3">
        <v>170.3</v>
      </c>
      <c r="Y338" s="3">
        <v>178.2</v>
      </c>
      <c r="Z338" s="3">
        <v>165.5</v>
      </c>
      <c r="AA338" s="3">
        <v>168</v>
      </c>
      <c r="AB338" s="3">
        <v>172.6</v>
      </c>
      <c r="AC338" s="3">
        <v>169.5</v>
      </c>
      <c r="AD338" s="3">
        <v>171</v>
      </c>
      <c r="AE338" s="3">
        <v>173.6</v>
      </c>
      <c r="AF338">
        <f t="shared" si="49"/>
        <v>2248.3000000000002</v>
      </c>
      <c r="AG338">
        <f t="shared" si="50"/>
        <v>539.79999999999995</v>
      </c>
      <c r="AH338">
        <f t="shared" si="51"/>
        <v>342.2</v>
      </c>
      <c r="AI338">
        <f t="shared" si="52"/>
        <v>509.70000000000005</v>
      </c>
      <c r="AJ338">
        <f t="shared" si="53"/>
        <v>347.7</v>
      </c>
      <c r="AK338">
        <f t="shared" si="54"/>
        <v>531.9</v>
      </c>
    </row>
    <row r="339" spans="1:37" x14ac:dyDescent="0.25">
      <c r="A339" s="6" t="s">
        <v>33</v>
      </c>
      <c r="B339" s="6">
        <v>2022</v>
      </c>
      <c r="C339" s="6" t="s">
        <v>39</v>
      </c>
      <c r="D339" s="3">
        <v>157.5</v>
      </c>
      <c r="E339" s="3">
        <v>223.4</v>
      </c>
      <c r="F339" s="3">
        <v>172.8</v>
      </c>
      <c r="G339" s="3">
        <v>166.4</v>
      </c>
      <c r="H339" s="3">
        <v>188.6</v>
      </c>
      <c r="I339" s="3">
        <v>174.1</v>
      </c>
      <c r="J339" s="3">
        <v>211.5</v>
      </c>
      <c r="K339" s="3">
        <v>163.6</v>
      </c>
      <c r="L339" s="3">
        <v>121.4</v>
      </c>
      <c r="M339" s="3">
        <v>183.5</v>
      </c>
      <c r="N339" s="3">
        <v>159.1</v>
      </c>
      <c r="O339" s="3">
        <v>186.3</v>
      </c>
      <c r="P339" s="3">
        <v>179.3</v>
      </c>
      <c r="Q339" s="3">
        <v>198.3</v>
      </c>
      <c r="R339" s="3">
        <v>171.6</v>
      </c>
      <c r="S339" s="3">
        <v>157.4</v>
      </c>
      <c r="T339" s="3">
        <v>169.4</v>
      </c>
      <c r="U339" s="3">
        <v>166.8</v>
      </c>
      <c r="V339" s="3">
        <f t="shared" si="48"/>
        <v>166.8</v>
      </c>
      <c r="W339" s="3">
        <v>174.9</v>
      </c>
      <c r="X339" s="3">
        <v>162.1</v>
      </c>
      <c r="Y339" s="3">
        <v>170.9</v>
      </c>
      <c r="Z339" s="3">
        <v>157.19999999999999</v>
      </c>
      <c r="AA339" s="3">
        <v>164.1</v>
      </c>
      <c r="AB339" s="3">
        <v>166.5</v>
      </c>
      <c r="AC339" s="3">
        <v>169.2</v>
      </c>
      <c r="AD339" s="3">
        <v>163.80000000000001</v>
      </c>
      <c r="AE339" s="3">
        <v>171.4</v>
      </c>
      <c r="AF339">
        <f t="shared" si="49"/>
        <v>2287.5</v>
      </c>
      <c r="AG339">
        <f t="shared" si="50"/>
        <v>498.4</v>
      </c>
      <c r="AH339">
        <f t="shared" si="51"/>
        <v>332.1</v>
      </c>
      <c r="AI339">
        <f t="shared" si="52"/>
        <v>495.4</v>
      </c>
      <c r="AJ339">
        <f t="shared" si="53"/>
        <v>340.1</v>
      </c>
      <c r="AK339">
        <f t="shared" si="54"/>
        <v>526.20000000000005</v>
      </c>
    </row>
    <row r="340" spans="1:37" x14ac:dyDescent="0.25">
      <c r="A340" s="6" t="s">
        <v>34</v>
      </c>
      <c r="B340" s="6">
        <v>2022</v>
      </c>
      <c r="C340" s="6" t="s">
        <v>39</v>
      </c>
      <c r="D340" s="3">
        <v>155</v>
      </c>
      <c r="E340" s="3">
        <v>219.4</v>
      </c>
      <c r="F340" s="3">
        <v>170.8</v>
      </c>
      <c r="G340" s="3">
        <v>165.8</v>
      </c>
      <c r="H340" s="3">
        <v>200.9</v>
      </c>
      <c r="I340" s="3">
        <v>169.7</v>
      </c>
      <c r="J340" s="3">
        <v>182.3</v>
      </c>
      <c r="K340" s="3">
        <v>164.3</v>
      </c>
      <c r="L340" s="3">
        <v>119.9</v>
      </c>
      <c r="M340" s="3">
        <v>187.1</v>
      </c>
      <c r="N340" s="3">
        <v>167.9</v>
      </c>
      <c r="O340" s="3">
        <v>183.9</v>
      </c>
      <c r="P340" s="3">
        <v>174.9</v>
      </c>
      <c r="Q340" s="3">
        <v>194.3</v>
      </c>
      <c r="R340" s="3">
        <v>177.1</v>
      </c>
      <c r="S340" s="3">
        <v>169.9</v>
      </c>
      <c r="T340" s="3">
        <v>176</v>
      </c>
      <c r="U340" s="3">
        <v>166.8</v>
      </c>
      <c r="V340" s="3">
        <f t="shared" si="48"/>
        <v>166.8</v>
      </c>
      <c r="W340" s="3">
        <v>176</v>
      </c>
      <c r="X340" s="3">
        <v>166.4</v>
      </c>
      <c r="Y340" s="3">
        <v>175.4</v>
      </c>
      <c r="Z340" s="3">
        <v>161.1</v>
      </c>
      <c r="AA340" s="3">
        <v>165.8</v>
      </c>
      <c r="AB340" s="3">
        <v>169</v>
      </c>
      <c r="AC340" s="3">
        <v>169.4</v>
      </c>
      <c r="AD340" s="3">
        <v>167.5</v>
      </c>
      <c r="AE340" s="3">
        <v>172.6</v>
      </c>
      <c r="AF340">
        <f t="shared" si="49"/>
        <v>2261.9</v>
      </c>
      <c r="AG340">
        <f t="shared" si="50"/>
        <v>523</v>
      </c>
      <c r="AH340">
        <f t="shared" si="51"/>
        <v>337.1</v>
      </c>
      <c r="AI340">
        <f t="shared" si="52"/>
        <v>502.20000000000005</v>
      </c>
      <c r="AJ340">
        <f t="shared" si="53"/>
        <v>344.8</v>
      </c>
      <c r="AK340">
        <f t="shared" si="54"/>
        <v>527.6</v>
      </c>
    </row>
    <row r="341" spans="1:37" x14ac:dyDescent="0.25">
      <c r="A341" s="6" t="s">
        <v>30</v>
      </c>
      <c r="B341" s="6">
        <v>2022</v>
      </c>
      <c r="C341" s="6" t="s">
        <v>40</v>
      </c>
      <c r="D341" s="3">
        <v>155.19999999999999</v>
      </c>
      <c r="E341" s="3">
        <v>210.8</v>
      </c>
      <c r="F341" s="3">
        <v>174.3</v>
      </c>
      <c r="G341" s="3">
        <v>166.3</v>
      </c>
      <c r="H341" s="3">
        <v>202.2</v>
      </c>
      <c r="I341" s="3">
        <v>169.6</v>
      </c>
      <c r="J341" s="3">
        <v>168.6</v>
      </c>
      <c r="K341" s="3">
        <v>164.4</v>
      </c>
      <c r="L341" s="3">
        <v>119.2</v>
      </c>
      <c r="M341" s="3">
        <v>191.8</v>
      </c>
      <c r="N341" s="3">
        <v>174.5</v>
      </c>
      <c r="O341" s="3">
        <v>183.1</v>
      </c>
      <c r="P341" s="3">
        <v>172.5</v>
      </c>
      <c r="Q341" s="3">
        <v>193.2</v>
      </c>
      <c r="R341" s="3">
        <v>182</v>
      </c>
      <c r="S341" s="3">
        <v>180.3</v>
      </c>
      <c r="T341" s="3">
        <v>181.7</v>
      </c>
      <c r="U341" s="3" t="s">
        <v>32</v>
      </c>
      <c r="V341" s="3">
        <f t="shared" si="48"/>
        <v>167.8</v>
      </c>
      <c r="W341" s="3">
        <v>179.6</v>
      </c>
      <c r="X341" s="3">
        <v>171.3</v>
      </c>
      <c r="Y341" s="3">
        <v>178.8</v>
      </c>
      <c r="Z341" s="3">
        <v>166.3</v>
      </c>
      <c r="AA341" s="3">
        <v>168.6</v>
      </c>
      <c r="AB341" s="3">
        <v>174.7</v>
      </c>
      <c r="AC341" s="3">
        <v>169.7</v>
      </c>
      <c r="AD341" s="3">
        <v>171.8</v>
      </c>
      <c r="AE341" s="3">
        <v>174.3</v>
      </c>
      <c r="AF341">
        <f t="shared" si="49"/>
        <v>2252.5</v>
      </c>
      <c r="AG341">
        <f t="shared" si="50"/>
        <v>544</v>
      </c>
      <c r="AH341">
        <f t="shared" si="51"/>
        <v>345.9</v>
      </c>
      <c r="AI341">
        <f t="shared" si="52"/>
        <v>513.79999999999995</v>
      </c>
      <c r="AJ341">
        <f t="shared" si="53"/>
        <v>348.5</v>
      </c>
      <c r="AK341">
        <f t="shared" si="54"/>
        <v>533.59999999999991</v>
      </c>
    </row>
    <row r="342" spans="1:37" x14ac:dyDescent="0.25">
      <c r="A342" s="6" t="s">
        <v>33</v>
      </c>
      <c r="B342" s="6">
        <v>2022</v>
      </c>
      <c r="C342" s="6" t="s">
        <v>40</v>
      </c>
      <c r="D342" s="3">
        <v>159.30000000000001</v>
      </c>
      <c r="E342" s="3">
        <v>217.1</v>
      </c>
      <c r="F342" s="3">
        <v>176.6</v>
      </c>
      <c r="G342" s="3">
        <v>167.1</v>
      </c>
      <c r="H342" s="3">
        <v>184.8</v>
      </c>
      <c r="I342" s="3">
        <v>179.5</v>
      </c>
      <c r="J342" s="3">
        <v>208.5</v>
      </c>
      <c r="K342" s="3">
        <v>164</v>
      </c>
      <c r="L342" s="3">
        <v>121.5</v>
      </c>
      <c r="M342" s="3">
        <v>186.3</v>
      </c>
      <c r="N342" s="3">
        <v>159.80000000000001</v>
      </c>
      <c r="O342" s="3">
        <v>187.7</v>
      </c>
      <c r="P342" s="3">
        <v>179.4</v>
      </c>
      <c r="Q342" s="3">
        <v>198.6</v>
      </c>
      <c r="R342" s="3">
        <v>172.7</v>
      </c>
      <c r="S342" s="3">
        <v>158.69999999999999</v>
      </c>
      <c r="T342" s="3">
        <v>170.6</v>
      </c>
      <c r="U342" s="3">
        <v>167.8</v>
      </c>
      <c r="V342" s="3">
        <f t="shared" si="48"/>
        <v>167.8</v>
      </c>
      <c r="W342" s="3">
        <v>179.5</v>
      </c>
      <c r="X342" s="3">
        <v>163.1</v>
      </c>
      <c r="Y342" s="3">
        <v>171.7</v>
      </c>
      <c r="Z342" s="3">
        <v>157.4</v>
      </c>
      <c r="AA342" s="3">
        <v>164.6</v>
      </c>
      <c r="AB342" s="3">
        <v>169.1</v>
      </c>
      <c r="AC342" s="3">
        <v>169.8</v>
      </c>
      <c r="AD342" s="3">
        <v>164.7</v>
      </c>
      <c r="AE342" s="3">
        <v>172.3</v>
      </c>
      <c r="AF342">
        <f t="shared" si="49"/>
        <v>2291.6</v>
      </c>
      <c r="AG342">
        <f t="shared" si="50"/>
        <v>502</v>
      </c>
      <c r="AH342">
        <f t="shared" si="51"/>
        <v>336.9</v>
      </c>
      <c r="AI342">
        <f t="shared" si="52"/>
        <v>500</v>
      </c>
      <c r="AJ342">
        <f t="shared" si="53"/>
        <v>341.5</v>
      </c>
      <c r="AK342">
        <f t="shared" si="54"/>
        <v>527.9</v>
      </c>
    </row>
    <row r="343" spans="1:37" x14ac:dyDescent="0.25">
      <c r="A343" s="6" t="s">
        <v>34</v>
      </c>
      <c r="B343" s="6">
        <v>2022</v>
      </c>
      <c r="C343" s="6" t="s">
        <v>40</v>
      </c>
      <c r="D343" s="3">
        <v>156.5</v>
      </c>
      <c r="E343" s="3">
        <v>213</v>
      </c>
      <c r="F343" s="3">
        <v>175.2</v>
      </c>
      <c r="G343" s="3">
        <v>166.6</v>
      </c>
      <c r="H343" s="3">
        <v>195.8</v>
      </c>
      <c r="I343" s="3">
        <v>174.2</v>
      </c>
      <c r="J343" s="3">
        <v>182.1</v>
      </c>
      <c r="K343" s="3">
        <v>164.3</v>
      </c>
      <c r="L343" s="3">
        <v>120</v>
      </c>
      <c r="M343" s="3">
        <v>190</v>
      </c>
      <c r="N343" s="3">
        <v>168.4</v>
      </c>
      <c r="O343" s="3">
        <v>185.2</v>
      </c>
      <c r="P343" s="3">
        <v>175</v>
      </c>
      <c r="Q343" s="3">
        <v>194.6</v>
      </c>
      <c r="R343" s="3">
        <v>178.3</v>
      </c>
      <c r="S343" s="3">
        <v>171.3</v>
      </c>
      <c r="T343" s="3">
        <v>177.3</v>
      </c>
      <c r="U343" s="3">
        <v>167.8</v>
      </c>
      <c r="V343" s="3">
        <f t="shared" si="48"/>
        <v>167.8</v>
      </c>
      <c r="W343" s="3">
        <v>179.6</v>
      </c>
      <c r="X343" s="3">
        <v>167.4</v>
      </c>
      <c r="Y343" s="3">
        <v>176.1</v>
      </c>
      <c r="Z343" s="3">
        <v>161.6</v>
      </c>
      <c r="AA343" s="3">
        <v>166.3</v>
      </c>
      <c r="AB343" s="3">
        <v>171.4</v>
      </c>
      <c r="AC343" s="3">
        <v>169.7</v>
      </c>
      <c r="AD343" s="3">
        <v>168.4</v>
      </c>
      <c r="AE343" s="3">
        <v>173.4</v>
      </c>
      <c r="AF343">
        <f t="shared" si="49"/>
        <v>2266.3000000000002</v>
      </c>
      <c r="AG343">
        <f t="shared" si="50"/>
        <v>526.90000000000009</v>
      </c>
      <c r="AH343">
        <f t="shared" si="51"/>
        <v>341.2</v>
      </c>
      <c r="AI343">
        <f t="shared" si="52"/>
        <v>506.6</v>
      </c>
      <c r="AJ343">
        <f t="shared" si="53"/>
        <v>345.79999999999995</v>
      </c>
      <c r="AK343">
        <f t="shared" si="54"/>
        <v>529.29999999999995</v>
      </c>
    </row>
    <row r="344" spans="1:37" x14ac:dyDescent="0.25">
      <c r="A344" s="6" t="s">
        <v>30</v>
      </c>
      <c r="B344" s="6">
        <v>2022</v>
      </c>
      <c r="C344" s="6" t="s">
        <v>41</v>
      </c>
      <c r="D344" s="3">
        <v>159.5</v>
      </c>
      <c r="E344" s="3">
        <v>204.1</v>
      </c>
      <c r="F344" s="3">
        <v>168.3</v>
      </c>
      <c r="G344" s="3">
        <v>167.9</v>
      </c>
      <c r="H344" s="3">
        <v>198.1</v>
      </c>
      <c r="I344" s="3">
        <v>169.2</v>
      </c>
      <c r="J344" s="3">
        <v>173.1</v>
      </c>
      <c r="K344" s="3">
        <v>167.1</v>
      </c>
      <c r="L344" s="3">
        <v>120.2</v>
      </c>
      <c r="M344" s="3">
        <v>195.6</v>
      </c>
      <c r="N344" s="3">
        <v>174.8</v>
      </c>
      <c r="O344" s="3">
        <v>184</v>
      </c>
      <c r="P344" s="3">
        <v>173.9</v>
      </c>
      <c r="Q344" s="3">
        <v>193.7</v>
      </c>
      <c r="R344" s="3">
        <v>183.2</v>
      </c>
      <c r="S344" s="3">
        <v>181.7</v>
      </c>
      <c r="T344" s="3">
        <v>183</v>
      </c>
      <c r="U344" s="3" t="s">
        <v>32</v>
      </c>
      <c r="V344" s="3">
        <f t="shared" si="48"/>
        <v>169</v>
      </c>
      <c r="W344" s="3">
        <v>179.1</v>
      </c>
      <c r="X344" s="3">
        <v>172.3</v>
      </c>
      <c r="Y344" s="3">
        <v>179.4</v>
      </c>
      <c r="Z344" s="3">
        <v>166.6</v>
      </c>
      <c r="AA344" s="3">
        <v>169.3</v>
      </c>
      <c r="AB344" s="3">
        <v>175.7</v>
      </c>
      <c r="AC344" s="3">
        <v>171.1</v>
      </c>
      <c r="AD344" s="3">
        <v>172.6</v>
      </c>
      <c r="AE344" s="3">
        <v>175.3</v>
      </c>
      <c r="AF344">
        <f t="shared" si="49"/>
        <v>2255.7999999999997</v>
      </c>
      <c r="AG344">
        <f t="shared" si="50"/>
        <v>547.9</v>
      </c>
      <c r="AH344">
        <f t="shared" si="51"/>
        <v>345.7</v>
      </c>
      <c r="AI344">
        <f t="shared" si="52"/>
        <v>517</v>
      </c>
      <c r="AJ344">
        <f t="shared" si="53"/>
        <v>350.5</v>
      </c>
      <c r="AK344">
        <f t="shared" si="54"/>
        <v>535.6</v>
      </c>
    </row>
    <row r="345" spans="1:37" x14ac:dyDescent="0.25">
      <c r="A345" s="6" t="s">
        <v>33</v>
      </c>
      <c r="B345" s="6">
        <v>2022</v>
      </c>
      <c r="C345" s="6" t="s">
        <v>41</v>
      </c>
      <c r="D345" s="3">
        <v>162.1</v>
      </c>
      <c r="E345" s="3">
        <v>210.9</v>
      </c>
      <c r="F345" s="3">
        <v>170.6</v>
      </c>
      <c r="G345" s="3">
        <v>168.4</v>
      </c>
      <c r="H345" s="3">
        <v>182.5</v>
      </c>
      <c r="I345" s="3">
        <v>177.1</v>
      </c>
      <c r="J345" s="3">
        <v>213.1</v>
      </c>
      <c r="K345" s="3">
        <v>167.3</v>
      </c>
      <c r="L345" s="3">
        <v>122.2</v>
      </c>
      <c r="M345" s="3">
        <v>189.7</v>
      </c>
      <c r="N345" s="3">
        <v>160.5</v>
      </c>
      <c r="O345" s="3">
        <v>188.9</v>
      </c>
      <c r="P345" s="3">
        <v>180.4</v>
      </c>
      <c r="Q345" s="3">
        <v>198.7</v>
      </c>
      <c r="R345" s="3">
        <v>173.7</v>
      </c>
      <c r="S345" s="3">
        <v>160</v>
      </c>
      <c r="T345" s="3">
        <v>171.6</v>
      </c>
      <c r="U345" s="3">
        <v>169</v>
      </c>
      <c r="V345" s="3">
        <f t="shared" si="48"/>
        <v>169</v>
      </c>
      <c r="W345" s="3">
        <v>178.4</v>
      </c>
      <c r="X345" s="3">
        <v>164.2</v>
      </c>
      <c r="Y345" s="3">
        <v>172.6</v>
      </c>
      <c r="Z345" s="3">
        <v>157.69999999999999</v>
      </c>
      <c r="AA345" s="3">
        <v>165.1</v>
      </c>
      <c r="AB345" s="3">
        <v>169.9</v>
      </c>
      <c r="AC345" s="3">
        <v>171.4</v>
      </c>
      <c r="AD345" s="3">
        <v>165.4</v>
      </c>
      <c r="AE345" s="3">
        <v>173.1</v>
      </c>
      <c r="AF345">
        <f t="shared" si="49"/>
        <v>2293.6999999999998</v>
      </c>
      <c r="AG345">
        <f t="shared" si="50"/>
        <v>505.29999999999995</v>
      </c>
      <c r="AH345">
        <f t="shared" si="51"/>
        <v>336.1</v>
      </c>
      <c r="AI345">
        <f t="shared" si="52"/>
        <v>503.1</v>
      </c>
      <c r="AJ345">
        <f t="shared" si="53"/>
        <v>344</v>
      </c>
      <c r="AK345">
        <f t="shared" si="54"/>
        <v>529.19999999999993</v>
      </c>
    </row>
    <row r="346" spans="1:37" x14ac:dyDescent="0.25">
      <c r="A346" s="6" t="s">
        <v>34</v>
      </c>
      <c r="B346" s="6">
        <v>2022</v>
      </c>
      <c r="C346" s="6" t="s">
        <v>41</v>
      </c>
      <c r="D346" s="3">
        <v>160.30000000000001</v>
      </c>
      <c r="E346" s="3">
        <v>206.5</v>
      </c>
      <c r="F346" s="3">
        <v>169.2</v>
      </c>
      <c r="G346" s="3">
        <v>168.1</v>
      </c>
      <c r="H346" s="3">
        <v>192.4</v>
      </c>
      <c r="I346" s="3">
        <v>172.9</v>
      </c>
      <c r="J346" s="3">
        <v>186.7</v>
      </c>
      <c r="K346" s="3">
        <v>167.2</v>
      </c>
      <c r="L346" s="3">
        <v>120.9</v>
      </c>
      <c r="M346" s="3">
        <v>193.6</v>
      </c>
      <c r="N346" s="3">
        <v>168.8</v>
      </c>
      <c r="O346" s="3">
        <v>186.3</v>
      </c>
      <c r="P346" s="3">
        <v>176.3</v>
      </c>
      <c r="Q346" s="3">
        <v>195</v>
      </c>
      <c r="R346" s="3">
        <v>179.5</v>
      </c>
      <c r="S346" s="3">
        <v>172.7</v>
      </c>
      <c r="T346" s="3">
        <v>178.5</v>
      </c>
      <c r="U346" s="3">
        <v>169</v>
      </c>
      <c r="V346" s="3">
        <f t="shared" si="48"/>
        <v>169</v>
      </c>
      <c r="W346" s="3">
        <v>178.8</v>
      </c>
      <c r="X346" s="3">
        <v>168.5</v>
      </c>
      <c r="Y346" s="3">
        <v>176.8</v>
      </c>
      <c r="Z346" s="3">
        <v>161.9</v>
      </c>
      <c r="AA346" s="3">
        <v>166.9</v>
      </c>
      <c r="AB346" s="3">
        <v>172.3</v>
      </c>
      <c r="AC346" s="3">
        <v>171.2</v>
      </c>
      <c r="AD346" s="3">
        <v>169.1</v>
      </c>
      <c r="AE346" s="3">
        <v>174.3</v>
      </c>
      <c r="AF346">
        <f t="shared" si="49"/>
        <v>2269.2000000000003</v>
      </c>
      <c r="AG346">
        <f t="shared" si="50"/>
        <v>530.70000000000005</v>
      </c>
      <c r="AH346">
        <f t="shared" si="51"/>
        <v>340.70000000000005</v>
      </c>
      <c r="AI346">
        <f t="shared" si="52"/>
        <v>509.8</v>
      </c>
      <c r="AJ346">
        <f t="shared" si="53"/>
        <v>348</v>
      </c>
      <c r="AK346">
        <f t="shared" si="54"/>
        <v>531</v>
      </c>
    </row>
    <row r="347" spans="1:37" x14ac:dyDescent="0.25">
      <c r="A347" s="6" t="s">
        <v>30</v>
      </c>
      <c r="B347" s="6">
        <v>2022</v>
      </c>
      <c r="C347" s="6" t="s">
        <v>42</v>
      </c>
      <c r="D347" s="3">
        <v>162.9</v>
      </c>
      <c r="E347" s="3">
        <v>206.7</v>
      </c>
      <c r="F347" s="3">
        <v>169</v>
      </c>
      <c r="G347" s="3">
        <v>169.5</v>
      </c>
      <c r="H347" s="3">
        <v>194.1</v>
      </c>
      <c r="I347" s="3">
        <v>164.1</v>
      </c>
      <c r="J347" s="3">
        <v>176.9</v>
      </c>
      <c r="K347" s="3">
        <v>169</v>
      </c>
      <c r="L347" s="3">
        <v>120.8</v>
      </c>
      <c r="M347" s="3">
        <v>199.1</v>
      </c>
      <c r="N347" s="3">
        <v>175.4</v>
      </c>
      <c r="O347" s="3">
        <v>184.8</v>
      </c>
      <c r="P347" s="3">
        <v>175.5</v>
      </c>
      <c r="Q347" s="3">
        <v>194.5</v>
      </c>
      <c r="R347" s="3">
        <v>184.7</v>
      </c>
      <c r="S347" s="3">
        <v>183.3</v>
      </c>
      <c r="T347" s="3">
        <v>184.5</v>
      </c>
      <c r="U347" s="3" t="s">
        <v>32</v>
      </c>
      <c r="V347" s="3">
        <f t="shared" si="48"/>
        <v>169.5</v>
      </c>
      <c r="W347" s="3">
        <v>179.7</v>
      </c>
      <c r="X347" s="3">
        <v>173.6</v>
      </c>
      <c r="Y347" s="3">
        <v>180.2</v>
      </c>
      <c r="Z347" s="3">
        <v>166.9</v>
      </c>
      <c r="AA347" s="3">
        <v>170</v>
      </c>
      <c r="AB347" s="3">
        <v>176.2</v>
      </c>
      <c r="AC347" s="3">
        <v>170.8</v>
      </c>
      <c r="AD347" s="3">
        <v>173.1</v>
      </c>
      <c r="AE347" s="3">
        <v>176.4</v>
      </c>
      <c r="AF347">
        <f t="shared" si="49"/>
        <v>2267.8000000000002</v>
      </c>
      <c r="AG347">
        <f t="shared" si="50"/>
        <v>552.5</v>
      </c>
      <c r="AH347">
        <f t="shared" si="51"/>
        <v>346.6</v>
      </c>
      <c r="AI347">
        <f t="shared" si="52"/>
        <v>519.29999999999995</v>
      </c>
      <c r="AJ347">
        <f t="shared" si="53"/>
        <v>351</v>
      </c>
      <c r="AK347">
        <f t="shared" si="54"/>
        <v>537.6</v>
      </c>
    </row>
    <row r="348" spans="1:37" x14ac:dyDescent="0.25">
      <c r="A348" s="6" t="s">
        <v>33</v>
      </c>
      <c r="B348" s="6">
        <v>2022</v>
      </c>
      <c r="C348" s="6" t="s">
        <v>42</v>
      </c>
      <c r="D348" s="3">
        <v>164.9</v>
      </c>
      <c r="E348" s="3">
        <v>213.7</v>
      </c>
      <c r="F348" s="3">
        <v>170.9</v>
      </c>
      <c r="G348" s="3">
        <v>170.1</v>
      </c>
      <c r="H348" s="3">
        <v>179.3</v>
      </c>
      <c r="I348" s="3">
        <v>167.5</v>
      </c>
      <c r="J348" s="3">
        <v>220.8</v>
      </c>
      <c r="K348" s="3">
        <v>169.2</v>
      </c>
      <c r="L348" s="3">
        <v>123.1</v>
      </c>
      <c r="M348" s="3">
        <v>193.6</v>
      </c>
      <c r="N348" s="3">
        <v>161.1</v>
      </c>
      <c r="O348" s="3">
        <v>190.4</v>
      </c>
      <c r="P348" s="3">
        <v>181.8</v>
      </c>
      <c r="Q348" s="3">
        <v>199.7</v>
      </c>
      <c r="R348" s="3">
        <v>175</v>
      </c>
      <c r="S348" s="3">
        <v>161.69999999999999</v>
      </c>
      <c r="T348" s="3">
        <v>173</v>
      </c>
      <c r="U348" s="3">
        <v>169.5</v>
      </c>
      <c r="V348" s="3">
        <f t="shared" si="48"/>
        <v>169.5</v>
      </c>
      <c r="W348" s="3">
        <v>179.2</v>
      </c>
      <c r="X348" s="3">
        <v>165</v>
      </c>
      <c r="Y348" s="3">
        <v>173.8</v>
      </c>
      <c r="Z348" s="3">
        <v>158.19999999999999</v>
      </c>
      <c r="AA348" s="3">
        <v>165.8</v>
      </c>
      <c r="AB348" s="3">
        <v>170.9</v>
      </c>
      <c r="AC348" s="3">
        <v>171.1</v>
      </c>
      <c r="AD348" s="3">
        <v>166.1</v>
      </c>
      <c r="AE348" s="3">
        <v>174.1</v>
      </c>
      <c r="AF348">
        <f t="shared" si="49"/>
        <v>2306.4</v>
      </c>
      <c r="AG348">
        <f t="shared" si="50"/>
        <v>509.7</v>
      </c>
      <c r="AH348">
        <f t="shared" si="51"/>
        <v>337.4</v>
      </c>
      <c r="AI348">
        <f t="shared" si="52"/>
        <v>505.4</v>
      </c>
      <c r="AJ348">
        <f t="shared" si="53"/>
        <v>344.9</v>
      </c>
      <c r="AK348">
        <f t="shared" si="54"/>
        <v>531.6</v>
      </c>
    </row>
    <row r="349" spans="1:37" x14ac:dyDescent="0.25">
      <c r="A349" s="6" t="s">
        <v>34</v>
      </c>
      <c r="B349" s="6">
        <v>2022</v>
      </c>
      <c r="C349" s="6" t="s">
        <v>42</v>
      </c>
      <c r="D349" s="3">
        <v>163.5</v>
      </c>
      <c r="E349" s="3">
        <v>209.2</v>
      </c>
      <c r="F349" s="3">
        <v>169.7</v>
      </c>
      <c r="G349" s="3">
        <v>169.7</v>
      </c>
      <c r="H349" s="3">
        <v>188.7</v>
      </c>
      <c r="I349" s="3">
        <v>165.7</v>
      </c>
      <c r="J349" s="3">
        <v>191.8</v>
      </c>
      <c r="K349" s="3">
        <v>169.1</v>
      </c>
      <c r="L349" s="3">
        <v>121.6</v>
      </c>
      <c r="M349" s="3">
        <v>197.3</v>
      </c>
      <c r="N349" s="3">
        <v>169.4</v>
      </c>
      <c r="O349" s="3">
        <v>187.4</v>
      </c>
      <c r="P349" s="3">
        <v>177.8</v>
      </c>
      <c r="Q349" s="3">
        <v>195.9</v>
      </c>
      <c r="R349" s="3">
        <v>180.9</v>
      </c>
      <c r="S349" s="3">
        <v>174.3</v>
      </c>
      <c r="T349" s="3">
        <v>179.9</v>
      </c>
      <c r="U349" s="3">
        <v>169.5</v>
      </c>
      <c r="V349" s="3">
        <f t="shared" si="48"/>
        <v>169.5</v>
      </c>
      <c r="W349" s="3">
        <v>179.5</v>
      </c>
      <c r="X349" s="3">
        <v>169.5</v>
      </c>
      <c r="Y349" s="3">
        <v>177.8</v>
      </c>
      <c r="Z349" s="3">
        <v>162.30000000000001</v>
      </c>
      <c r="AA349" s="3">
        <v>167.6</v>
      </c>
      <c r="AB349" s="3">
        <v>173.1</v>
      </c>
      <c r="AC349" s="3">
        <v>170.9</v>
      </c>
      <c r="AD349" s="3">
        <v>169.7</v>
      </c>
      <c r="AE349" s="3">
        <v>175.3</v>
      </c>
      <c r="AF349">
        <f t="shared" si="49"/>
        <v>2280.9</v>
      </c>
      <c r="AG349">
        <f t="shared" si="50"/>
        <v>535.1</v>
      </c>
      <c r="AH349">
        <f t="shared" si="51"/>
        <v>341.8</v>
      </c>
      <c r="AI349">
        <f t="shared" si="52"/>
        <v>512.1</v>
      </c>
      <c r="AJ349">
        <f t="shared" si="53"/>
        <v>348.70000000000005</v>
      </c>
      <c r="AK349">
        <f t="shared" si="54"/>
        <v>533.20000000000005</v>
      </c>
    </row>
    <row r="350" spans="1:37" x14ac:dyDescent="0.25">
      <c r="A350" s="6" t="s">
        <v>30</v>
      </c>
      <c r="B350" s="6">
        <v>2022</v>
      </c>
      <c r="C350" s="6" t="s">
        <v>43</v>
      </c>
      <c r="D350" s="3">
        <v>164.7</v>
      </c>
      <c r="E350" s="3">
        <v>208.8</v>
      </c>
      <c r="F350" s="3">
        <v>170.3</v>
      </c>
      <c r="G350" s="3">
        <v>170.9</v>
      </c>
      <c r="H350" s="3">
        <v>191.6</v>
      </c>
      <c r="I350" s="3">
        <v>162.19999999999999</v>
      </c>
      <c r="J350" s="3">
        <v>184.8</v>
      </c>
      <c r="K350" s="3">
        <v>169.7</v>
      </c>
      <c r="L350" s="3">
        <v>121.1</v>
      </c>
      <c r="M350" s="3">
        <v>201.6</v>
      </c>
      <c r="N350" s="3">
        <v>175.8</v>
      </c>
      <c r="O350" s="3">
        <v>185.6</v>
      </c>
      <c r="P350" s="3">
        <v>177.4</v>
      </c>
      <c r="Q350" s="3">
        <v>194.9</v>
      </c>
      <c r="R350" s="3">
        <v>186.1</v>
      </c>
      <c r="S350" s="3">
        <v>184.4</v>
      </c>
      <c r="T350" s="3">
        <v>185.9</v>
      </c>
      <c r="U350" s="3" t="s">
        <v>32</v>
      </c>
      <c r="V350" s="3">
        <f t="shared" si="48"/>
        <v>171.2</v>
      </c>
      <c r="W350" s="3">
        <v>180.8</v>
      </c>
      <c r="X350" s="3">
        <v>174.4</v>
      </c>
      <c r="Y350" s="3">
        <v>181.2</v>
      </c>
      <c r="Z350" s="3">
        <v>167.4</v>
      </c>
      <c r="AA350" s="3">
        <v>170.6</v>
      </c>
      <c r="AB350" s="3">
        <v>176.5</v>
      </c>
      <c r="AC350" s="3">
        <v>172</v>
      </c>
      <c r="AD350" s="3">
        <v>173.9</v>
      </c>
      <c r="AE350" s="3">
        <v>177.9</v>
      </c>
      <c r="AF350">
        <f t="shared" si="49"/>
        <v>2284.5</v>
      </c>
      <c r="AG350">
        <f t="shared" si="50"/>
        <v>556.4</v>
      </c>
      <c r="AH350">
        <f t="shared" si="51"/>
        <v>348.20000000000005</v>
      </c>
      <c r="AI350">
        <f t="shared" si="52"/>
        <v>522.1</v>
      </c>
      <c r="AJ350">
        <f t="shared" si="53"/>
        <v>353.2</v>
      </c>
      <c r="AK350">
        <f t="shared" si="54"/>
        <v>539.4</v>
      </c>
    </row>
    <row r="351" spans="1:37" x14ac:dyDescent="0.25">
      <c r="A351" s="6" t="s">
        <v>33</v>
      </c>
      <c r="B351" s="6">
        <v>2022</v>
      </c>
      <c r="C351" s="6" t="s">
        <v>43</v>
      </c>
      <c r="D351" s="3">
        <v>166.4</v>
      </c>
      <c r="E351" s="3">
        <v>214.9</v>
      </c>
      <c r="F351" s="3">
        <v>171.9</v>
      </c>
      <c r="G351" s="3">
        <v>171</v>
      </c>
      <c r="H351" s="3">
        <v>177.7</v>
      </c>
      <c r="I351" s="3">
        <v>165.7</v>
      </c>
      <c r="J351" s="3">
        <v>228.6</v>
      </c>
      <c r="K351" s="3">
        <v>169.9</v>
      </c>
      <c r="L351" s="3">
        <v>123.4</v>
      </c>
      <c r="M351" s="3">
        <v>196.4</v>
      </c>
      <c r="N351" s="3">
        <v>161.6</v>
      </c>
      <c r="O351" s="3">
        <v>191.5</v>
      </c>
      <c r="P351" s="3">
        <v>183.3</v>
      </c>
      <c r="Q351" s="3">
        <v>200.1</v>
      </c>
      <c r="R351" s="3">
        <v>175.5</v>
      </c>
      <c r="S351" s="3">
        <v>162.6</v>
      </c>
      <c r="T351" s="3">
        <v>173.6</v>
      </c>
      <c r="U351" s="3">
        <v>171.2</v>
      </c>
      <c r="V351" s="3">
        <f t="shared" si="48"/>
        <v>171.2</v>
      </c>
      <c r="W351" s="3">
        <v>180</v>
      </c>
      <c r="X351" s="3">
        <v>166</v>
      </c>
      <c r="Y351" s="3">
        <v>174.7</v>
      </c>
      <c r="Z351" s="3">
        <v>158.80000000000001</v>
      </c>
      <c r="AA351" s="3">
        <v>166.3</v>
      </c>
      <c r="AB351" s="3">
        <v>171.2</v>
      </c>
      <c r="AC351" s="3">
        <v>172.3</v>
      </c>
      <c r="AD351" s="3">
        <v>166.8</v>
      </c>
      <c r="AE351" s="3">
        <v>175.3</v>
      </c>
      <c r="AF351">
        <f t="shared" si="49"/>
        <v>2322.3000000000002</v>
      </c>
      <c r="AG351">
        <f t="shared" si="50"/>
        <v>511.70000000000005</v>
      </c>
      <c r="AH351">
        <f t="shared" si="51"/>
        <v>338.8</v>
      </c>
      <c r="AI351">
        <f t="shared" si="52"/>
        <v>508.4</v>
      </c>
      <c r="AJ351">
        <f t="shared" si="53"/>
        <v>347</v>
      </c>
      <c r="AK351">
        <f t="shared" si="54"/>
        <v>533.20000000000005</v>
      </c>
    </row>
    <row r="352" spans="1:37" x14ac:dyDescent="0.25">
      <c r="A352" s="6" t="s">
        <v>34</v>
      </c>
      <c r="B352" s="6">
        <v>2022</v>
      </c>
      <c r="C352" s="6" t="s">
        <v>43</v>
      </c>
      <c r="D352" s="3">
        <v>165.2</v>
      </c>
      <c r="E352" s="3">
        <v>210.9</v>
      </c>
      <c r="F352" s="3">
        <v>170.9</v>
      </c>
      <c r="G352" s="3">
        <v>170.9</v>
      </c>
      <c r="H352" s="3">
        <v>186.5</v>
      </c>
      <c r="I352" s="3">
        <v>163.80000000000001</v>
      </c>
      <c r="J352" s="3">
        <v>199.7</v>
      </c>
      <c r="K352" s="3">
        <v>169.8</v>
      </c>
      <c r="L352" s="3">
        <v>121.9</v>
      </c>
      <c r="M352" s="3">
        <v>199.9</v>
      </c>
      <c r="N352" s="3">
        <v>169.9</v>
      </c>
      <c r="O352" s="3">
        <v>188.3</v>
      </c>
      <c r="P352" s="3">
        <v>179.6</v>
      </c>
      <c r="Q352" s="3">
        <v>196.3</v>
      </c>
      <c r="R352" s="3">
        <v>181.9</v>
      </c>
      <c r="S352" s="3">
        <v>175.3</v>
      </c>
      <c r="T352" s="3">
        <v>181</v>
      </c>
      <c r="U352" s="3">
        <v>171.2</v>
      </c>
      <c r="V352" s="3">
        <f t="shared" si="48"/>
        <v>171.2</v>
      </c>
      <c r="W352" s="3">
        <v>180.5</v>
      </c>
      <c r="X352" s="3">
        <v>170.4</v>
      </c>
      <c r="Y352" s="3">
        <v>178.7</v>
      </c>
      <c r="Z352" s="3">
        <v>162.9</v>
      </c>
      <c r="AA352" s="3">
        <v>168.2</v>
      </c>
      <c r="AB352" s="3">
        <v>173.4</v>
      </c>
      <c r="AC352" s="3">
        <v>172.1</v>
      </c>
      <c r="AD352" s="3">
        <v>170.5</v>
      </c>
      <c r="AE352" s="3">
        <v>176.7</v>
      </c>
      <c r="AF352">
        <f t="shared" si="49"/>
        <v>2297.3000000000002</v>
      </c>
      <c r="AG352">
        <f t="shared" si="50"/>
        <v>538.20000000000005</v>
      </c>
      <c r="AH352">
        <f t="shared" si="51"/>
        <v>343.4</v>
      </c>
      <c r="AI352">
        <f t="shared" si="52"/>
        <v>515</v>
      </c>
      <c r="AJ352">
        <f t="shared" si="53"/>
        <v>350.79999999999995</v>
      </c>
      <c r="AK352">
        <f t="shared" si="54"/>
        <v>535</v>
      </c>
    </row>
    <row r="353" spans="1:40" x14ac:dyDescent="0.25">
      <c r="A353" s="6" t="s">
        <v>30</v>
      </c>
      <c r="B353" s="6">
        <v>2022</v>
      </c>
      <c r="C353" s="6" t="s">
        <v>45</v>
      </c>
      <c r="D353" s="3">
        <v>166.9</v>
      </c>
      <c r="E353" s="3">
        <v>207.2</v>
      </c>
      <c r="F353" s="3">
        <v>180.2</v>
      </c>
      <c r="G353" s="3">
        <v>172.3</v>
      </c>
      <c r="H353" s="3">
        <v>194</v>
      </c>
      <c r="I353" s="3">
        <v>159.1</v>
      </c>
      <c r="J353" s="3">
        <v>171.6</v>
      </c>
      <c r="K353" s="3">
        <v>170.2</v>
      </c>
      <c r="L353" s="3">
        <v>121.5</v>
      </c>
      <c r="M353" s="3">
        <v>204.8</v>
      </c>
      <c r="N353" s="3">
        <v>176.4</v>
      </c>
      <c r="O353" s="3">
        <v>186.9</v>
      </c>
      <c r="P353" s="3">
        <v>176.6</v>
      </c>
      <c r="Q353" s="3">
        <v>195.5</v>
      </c>
      <c r="R353" s="3">
        <v>187.2</v>
      </c>
      <c r="S353" s="3">
        <v>185.2</v>
      </c>
      <c r="T353" s="3">
        <v>186.9</v>
      </c>
      <c r="U353" s="3" t="s">
        <v>32</v>
      </c>
      <c r="V353" s="3">
        <f t="shared" si="48"/>
        <v>171.8</v>
      </c>
      <c r="W353" s="3">
        <v>181.9</v>
      </c>
      <c r="X353" s="3">
        <v>175.5</v>
      </c>
      <c r="Y353" s="3">
        <v>182.3</v>
      </c>
      <c r="Z353" s="3">
        <v>167.5</v>
      </c>
      <c r="AA353" s="3">
        <v>170.8</v>
      </c>
      <c r="AB353" s="3">
        <v>176.9</v>
      </c>
      <c r="AC353" s="3">
        <v>173.4</v>
      </c>
      <c r="AD353" s="3">
        <v>174.6</v>
      </c>
      <c r="AE353" s="3">
        <v>177.8</v>
      </c>
      <c r="AF353">
        <f t="shared" si="49"/>
        <v>2287.6999999999998</v>
      </c>
      <c r="AG353">
        <f t="shared" si="50"/>
        <v>559.29999999999995</v>
      </c>
      <c r="AH353">
        <f t="shared" si="51"/>
        <v>349.4</v>
      </c>
      <c r="AI353">
        <f t="shared" si="52"/>
        <v>524.20000000000005</v>
      </c>
      <c r="AJ353">
        <f t="shared" si="53"/>
        <v>355.70000000000005</v>
      </c>
      <c r="AK353">
        <f t="shared" si="54"/>
        <v>540.9</v>
      </c>
    </row>
    <row r="354" spans="1:40" x14ac:dyDescent="0.25">
      <c r="A354" s="6" t="s">
        <v>33</v>
      </c>
      <c r="B354" s="6">
        <v>2022</v>
      </c>
      <c r="C354" s="6" t="s">
        <v>45</v>
      </c>
      <c r="D354" s="3">
        <v>168.4</v>
      </c>
      <c r="E354" s="3">
        <v>213.4</v>
      </c>
      <c r="F354" s="3">
        <v>183.2</v>
      </c>
      <c r="G354" s="3">
        <v>172.3</v>
      </c>
      <c r="H354" s="3">
        <v>180</v>
      </c>
      <c r="I354" s="3">
        <v>162.6</v>
      </c>
      <c r="J354" s="3">
        <v>205.5</v>
      </c>
      <c r="K354" s="3">
        <v>171</v>
      </c>
      <c r="L354" s="3">
        <v>123.4</v>
      </c>
      <c r="M354" s="3">
        <v>198.8</v>
      </c>
      <c r="N354" s="3">
        <v>162.1</v>
      </c>
      <c r="O354" s="3">
        <v>192.4</v>
      </c>
      <c r="P354" s="3">
        <v>181.3</v>
      </c>
      <c r="Q354" s="3">
        <v>200.6</v>
      </c>
      <c r="R354" s="3">
        <v>176.7</v>
      </c>
      <c r="S354" s="3">
        <v>163.5</v>
      </c>
      <c r="T354" s="3">
        <v>174.7</v>
      </c>
      <c r="U354" s="3">
        <v>171.8</v>
      </c>
      <c r="V354" s="3">
        <f t="shared" si="48"/>
        <v>171.8</v>
      </c>
      <c r="W354" s="3">
        <v>180.3</v>
      </c>
      <c r="X354" s="3">
        <v>166.9</v>
      </c>
      <c r="Y354" s="3">
        <v>175.8</v>
      </c>
      <c r="Z354" s="3">
        <v>158.9</v>
      </c>
      <c r="AA354" s="3">
        <v>166.7</v>
      </c>
      <c r="AB354" s="3">
        <v>171.5</v>
      </c>
      <c r="AC354" s="3">
        <v>173.8</v>
      </c>
      <c r="AD354" s="3">
        <v>167.4</v>
      </c>
      <c r="AE354" s="3">
        <v>174.1</v>
      </c>
      <c r="AF354">
        <f t="shared" si="49"/>
        <v>2314.4</v>
      </c>
      <c r="AG354">
        <f t="shared" si="50"/>
        <v>514.9</v>
      </c>
      <c r="AH354">
        <f t="shared" si="51"/>
        <v>339.20000000000005</v>
      </c>
      <c r="AI354">
        <f t="shared" si="52"/>
        <v>510.20000000000005</v>
      </c>
      <c r="AJ354">
        <f t="shared" si="53"/>
        <v>349.6</v>
      </c>
      <c r="AK354">
        <f t="shared" si="54"/>
        <v>534.69999999999993</v>
      </c>
      <c r="AN354">
        <f>CORREL(AE:AE,AF:AF)</f>
        <v>0.99062654200111944</v>
      </c>
    </row>
    <row r="355" spans="1:40" x14ac:dyDescent="0.25">
      <c r="A355" s="6" t="s">
        <v>34</v>
      </c>
      <c r="B355" s="6">
        <v>2022</v>
      </c>
      <c r="C355" s="6" t="s">
        <v>45</v>
      </c>
      <c r="D355" s="3">
        <v>167.4</v>
      </c>
      <c r="E355" s="3">
        <v>209.4</v>
      </c>
      <c r="F355" s="3">
        <v>181.4</v>
      </c>
      <c r="G355" s="3">
        <v>172.3</v>
      </c>
      <c r="H355" s="3">
        <v>188.9</v>
      </c>
      <c r="I355" s="3">
        <v>160.69999999999999</v>
      </c>
      <c r="J355" s="3">
        <v>183.1</v>
      </c>
      <c r="K355" s="3">
        <v>170.5</v>
      </c>
      <c r="L355" s="3">
        <v>122.1</v>
      </c>
      <c r="M355" s="3">
        <v>202.8</v>
      </c>
      <c r="N355" s="3">
        <v>170.4</v>
      </c>
      <c r="O355" s="3">
        <v>189.5</v>
      </c>
      <c r="P355" s="3">
        <v>178.3</v>
      </c>
      <c r="Q355" s="3">
        <v>196.9</v>
      </c>
      <c r="R355" s="3">
        <v>183.1</v>
      </c>
      <c r="S355" s="3">
        <v>176.2</v>
      </c>
      <c r="T355" s="3">
        <v>182.1</v>
      </c>
      <c r="U355" s="3">
        <v>171.8</v>
      </c>
      <c r="V355" s="3">
        <f t="shared" si="48"/>
        <v>171.8</v>
      </c>
      <c r="W355" s="3">
        <v>181.3</v>
      </c>
      <c r="X355" s="3">
        <v>171.4</v>
      </c>
      <c r="Y355" s="3">
        <v>179.8</v>
      </c>
      <c r="Z355" s="3">
        <v>163</v>
      </c>
      <c r="AA355" s="3">
        <v>168.5</v>
      </c>
      <c r="AB355" s="3">
        <v>173.7</v>
      </c>
      <c r="AC355" s="3">
        <v>173.6</v>
      </c>
      <c r="AD355" s="3">
        <v>171.1</v>
      </c>
      <c r="AE355" s="3">
        <v>176.5</v>
      </c>
      <c r="AF355">
        <f t="shared" si="49"/>
        <v>2296.8000000000002</v>
      </c>
      <c r="AG355">
        <f t="shared" si="50"/>
        <v>541.4</v>
      </c>
      <c r="AH355">
        <f t="shared" si="51"/>
        <v>344.3</v>
      </c>
      <c r="AI355">
        <f t="shared" si="52"/>
        <v>516.90000000000009</v>
      </c>
      <c r="AJ355">
        <f t="shared" si="53"/>
        <v>353.4</v>
      </c>
      <c r="AK355">
        <f t="shared" si="54"/>
        <v>536.5</v>
      </c>
    </row>
    <row r="356" spans="1:40" x14ac:dyDescent="0.25">
      <c r="A356" s="6" t="s">
        <v>30</v>
      </c>
      <c r="B356" s="6">
        <v>2022</v>
      </c>
      <c r="C356" s="6" t="s">
        <v>46</v>
      </c>
      <c r="D356" s="3">
        <v>168.8</v>
      </c>
      <c r="E356" s="3">
        <v>206.9</v>
      </c>
      <c r="F356" s="3">
        <v>189.1</v>
      </c>
      <c r="G356" s="3">
        <v>173.4</v>
      </c>
      <c r="H356" s="3">
        <v>193.9</v>
      </c>
      <c r="I356" s="3">
        <v>156.69999999999999</v>
      </c>
      <c r="J356" s="3">
        <v>150.19999999999999</v>
      </c>
      <c r="K356" s="3">
        <v>170.5</v>
      </c>
      <c r="L356" s="3">
        <v>121.2</v>
      </c>
      <c r="M356" s="3">
        <v>207.5</v>
      </c>
      <c r="N356" s="3">
        <v>176.8</v>
      </c>
      <c r="O356" s="3">
        <v>187.7</v>
      </c>
      <c r="P356" s="3">
        <v>174.4</v>
      </c>
      <c r="Q356" s="3">
        <v>195.9</v>
      </c>
      <c r="R356" s="3">
        <v>188.1</v>
      </c>
      <c r="S356" s="3">
        <v>185.9</v>
      </c>
      <c r="T356" s="3">
        <v>187.8</v>
      </c>
      <c r="U356" s="3" t="s">
        <v>32</v>
      </c>
      <c r="V356" s="3">
        <f t="shared" si="48"/>
        <v>170.7</v>
      </c>
      <c r="W356" s="3">
        <v>182.8</v>
      </c>
      <c r="X356" s="3">
        <v>176.4</v>
      </c>
      <c r="Y356" s="3">
        <v>183.5</v>
      </c>
      <c r="Z356" s="3">
        <v>167.8</v>
      </c>
      <c r="AA356" s="3">
        <v>171.2</v>
      </c>
      <c r="AB356" s="3">
        <v>177.3</v>
      </c>
      <c r="AC356" s="3">
        <v>175.7</v>
      </c>
      <c r="AD356" s="3">
        <v>175.5</v>
      </c>
      <c r="AE356" s="3">
        <v>177.1</v>
      </c>
      <c r="AF356">
        <f t="shared" si="49"/>
        <v>2277.1</v>
      </c>
      <c r="AG356">
        <f t="shared" si="50"/>
        <v>561.79999999999995</v>
      </c>
      <c r="AH356">
        <f t="shared" si="51"/>
        <v>350.6</v>
      </c>
      <c r="AI356">
        <f t="shared" si="52"/>
        <v>524.40000000000009</v>
      </c>
      <c r="AJ356">
        <f t="shared" si="53"/>
        <v>359.2</v>
      </c>
      <c r="AK356">
        <f t="shared" si="54"/>
        <v>542.6</v>
      </c>
      <c r="AN356">
        <f>CORREL(AE:AE,AH:AH)</f>
        <v>0.97530537660243899</v>
      </c>
    </row>
    <row r="357" spans="1:40" x14ac:dyDescent="0.25">
      <c r="A357" s="6" t="s">
        <v>33</v>
      </c>
      <c r="B357" s="6">
        <v>2022</v>
      </c>
      <c r="C357" s="6" t="s">
        <v>46</v>
      </c>
      <c r="D357" s="3">
        <v>170.2</v>
      </c>
      <c r="E357" s="3">
        <v>212.9</v>
      </c>
      <c r="F357" s="3">
        <v>191.9</v>
      </c>
      <c r="G357" s="3">
        <v>173.9</v>
      </c>
      <c r="H357" s="3">
        <v>179.1</v>
      </c>
      <c r="I357" s="3">
        <v>159.5</v>
      </c>
      <c r="J357" s="3">
        <v>178.7</v>
      </c>
      <c r="K357" s="3">
        <v>171.3</v>
      </c>
      <c r="L357" s="3">
        <v>123.1</v>
      </c>
      <c r="M357" s="3">
        <v>200.5</v>
      </c>
      <c r="N357" s="3">
        <v>162.80000000000001</v>
      </c>
      <c r="O357" s="3">
        <v>193.3</v>
      </c>
      <c r="P357" s="3">
        <v>178.6</v>
      </c>
      <c r="Q357" s="3">
        <v>201.1</v>
      </c>
      <c r="R357" s="3">
        <v>177.7</v>
      </c>
      <c r="S357" s="3">
        <v>164.5</v>
      </c>
      <c r="T357" s="3">
        <v>175.7</v>
      </c>
      <c r="U357" s="3">
        <v>170.7</v>
      </c>
      <c r="V357" s="3">
        <f t="shared" si="48"/>
        <v>170.7</v>
      </c>
      <c r="W357" s="3">
        <v>180.6</v>
      </c>
      <c r="X357" s="3">
        <v>167.3</v>
      </c>
      <c r="Y357" s="3">
        <v>177.2</v>
      </c>
      <c r="Z357" s="3">
        <v>159.4</v>
      </c>
      <c r="AA357" s="3">
        <v>167.1</v>
      </c>
      <c r="AB357" s="3">
        <v>171.8</v>
      </c>
      <c r="AC357" s="3">
        <v>176</v>
      </c>
      <c r="AD357" s="3">
        <v>168.2</v>
      </c>
      <c r="AE357" s="3">
        <v>174.1</v>
      </c>
      <c r="AF357">
        <f t="shared" si="49"/>
        <v>2295.7999999999997</v>
      </c>
      <c r="AG357">
        <f t="shared" si="50"/>
        <v>517.9</v>
      </c>
      <c r="AH357">
        <f t="shared" si="51"/>
        <v>340</v>
      </c>
      <c r="AI357">
        <f t="shared" si="52"/>
        <v>509.8</v>
      </c>
      <c r="AJ357">
        <f t="shared" si="53"/>
        <v>353.2</v>
      </c>
      <c r="AK357">
        <f t="shared" si="54"/>
        <v>536.4</v>
      </c>
      <c r="AN357">
        <f>CORREL(AE:AE,AI:AI)</f>
        <v>0.98741878087266988</v>
      </c>
    </row>
    <row r="358" spans="1:40" x14ac:dyDescent="0.25">
      <c r="A358" s="6" t="s">
        <v>34</v>
      </c>
      <c r="B358" s="6">
        <v>2022</v>
      </c>
      <c r="C358" s="6" t="s">
        <v>46</v>
      </c>
      <c r="D358" s="3">
        <v>169.2</v>
      </c>
      <c r="E358" s="3">
        <v>209</v>
      </c>
      <c r="F358" s="3">
        <v>190.2</v>
      </c>
      <c r="G358" s="3">
        <v>173.6</v>
      </c>
      <c r="H358" s="3">
        <v>188.5</v>
      </c>
      <c r="I358" s="3">
        <v>158</v>
      </c>
      <c r="J358" s="3">
        <v>159.9</v>
      </c>
      <c r="K358" s="3">
        <v>170.8</v>
      </c>
      <c r="L358" s="3">
        <v>121.8</v>
      </c>
      <c r="M358" s="3">
        <v>205.2</v>
      </c>
      <c r="N358" s="3">
        <v>171</v>
      </c>
      <c r="O358" s="3">
        <v>190.3</v>
      </c>
      <c r="P358" s="3">
        <v>175.9</v>
      </c>
      <c r="Q358" s="3">
        <v>197.3</v>
      </c>
      <c r="R358" s="3">
        <v>184</v>
      </c>
      <c r="S358" s="3">
        <v>177</v>
      </c>
      <c r="T358" s="3">
        <v>183</v>
      </c>
      <c r="U358" s="3">
        <v>170.7</v>
      </c>
      <c r="V358" s="3">
        <f t="shared" si="48"/>
        <v>170.7</v>
      </c>
      <c r="W358" s="3">
        <v>182</v>
      </c>
      <c r="X358" s="3">
        <v>172.1</v>
      </c>
      <c r="Y358" s="3">
        <v>181.1</v>
      </c>
      <c r="Z358" s="3">
        <v>163.4</v>
      </c>
      <c r="AA358" s="3">
        <v>168.9</v>
      </c>
      <c r="AB358" s="3">
        <v>174.1</v>
      </c>
      <c r="AC358" s="3">
        <v>175.8</v>
      </c>
      <c r="AD358" s="3">
        <v>172</v>
      </c>
      <c r="AE358" s="3">
        <v>175.7</v>
      </c>
      <c r="AF358">
        <f t="shared" si="49"/>
        <v>2283.4</v>
      </c>
      <c r="AG358">
        <f t="shared" si="50"/>
        <v>544</v>
      </c>
      <c r="AH358">
        <f t="shared" si="51"/>
        <v>345.4</v>
      </c>
      <c r="AI358">
        <f t="shared" si="52"/>
        <v>516.9</v>
      </c>
      <c r="AJ358">
        <f t="shared" si="53"/>
        <v>356.9</v>
      </c>
      <c r="AK358">
        <f t="shared" si="54"/>
        <v>538.20000000000005</v>
      </c>
    </row>
    <row r="359" spans="1:40" x14ac:dyDescent="0.25">
      <c r="A359" s="6" t="s">
        <v>30</v>
      </c>
      <c r="B359" s="6">
        <v>2023</v>
      </c>
      <c r="C359" s="6" t="s">
        <v>31</v>
      </c>
      <c r="D359" s="3">
        <v>174</v>
      </c>
      <c r="E359" s="3">
        <v>208.3</v>
      </c>
      <c r="F359" s="3">
        <v>192.9</v>
      </c>
      <c r="G359" s="3">
        <v>174.3</v>
      </c>
      <c r="H359" s="3">
        <v>192.6</v>
      </c>
      <c r="I359" s="3">
        <v>156.30000000000001</v>
      </c>
      <c r="J359" s="3">
        <v>142.9</v>
      </c>
      <c r="K359" s="3">
        <v>170.7</v>
      </c>
      <c r="L359" s="3">
        <v>120.3</v>
      </c>
      <c r="M359" s="3">
        <v>210.5</v>
      </c>
      <c r="N359" s="3">
        <v>176.9</v>
      </c>
      <c r="O359" s="3">
        <v>188.5</v>
      </c>
      <c r="P359" s="3">
        <v>175</v>
      </c>
      <c r="Q359" s="3">
        <v>196.9</v>
      </c>
      <c r="R359" s="3">
        <v>189</v>
      </c>
      <c r="S359" s="3">
        <v>186.3</v>
      </c>
      <c r="T359" s="3">
        <v>188.6</v>
      </c>
      <c r="U359" s="3" t="s">
        <v>32</v>
      </c>
      <c r="V359" s="3">
        <f t="shared" si="48"/>
        <v>172.1</v>
      </c>
      <c r="W359" s="3">
        <v>183.2</v>
      </c>
      <c r="X359" s="3">
        <v>177.2</v>
      </c>
      <c r="Y359" s="3">
        <v>184.7</v>
      </c>
      <c r="Z359" s="3">
        <v>168.2</v>
      </c>
      <c r="AA359" s="3">
        <v>171.8</v>
      </c>
      <c r="AB359" s="3">
        <v>177.8</v>
      </c>
      <c r="AC359" s="3">
        <v>178.4</v>
      </c>
      <c r="AD359" s="3">
        <v>176.5</v>
      </c>
      <c r="AE359" s="3">
        <v>177.8</v>
      </c>
      <c r="AF359">
        <f t="shared" si="49"/>
        <v>2283.2000000000003</v>
      </c>
      <c r="AG359">
        <f t="shared" si="50"/>
        <v>563.9</v>
      </c>
      <c r="AH359">
        <f t="shared" si="51"/>
        <v>351.4</v>
      </c>
      <c r="AI359">
        <f t="shared" si="52"/>
        <v>527.09999999999991</v>
      </c>
      <c r="AJ359">
        <f t="shared" si="53"/>
        <v>363.1</v>
      </c>
      <c r="AK359">
        <f t="shared" si="54"/>
        <v>545.20000000000005</v>
      </c>
    </row>
    <row r="360" spans="1:40" x14ac:dyDescent="0.25">
      <c r="A360" s="6" t="s">
        <v>33</v>
      </c>
      <c r="B360" s="6">
        <v>2023</v>
      </c>
      <c r="C360" s="6" t="s">
        <v>31</v>
      </c>
      <c r="D360" s="3">
        <v>173.3</v>
      </c>
      <c r="E360" s="3">
        <v>215.2</v>
      </c>
      <c r="F360" s="3">
        <v>197</v>
      </c>
      <c r="G360" s="3">
        <v>175.2</v>
      </c>
      <c r="H360" s="3">
        <v>178</v>
      </c>
      <c r="I360" s="3">
        <v>160.5</v>
      </c>
      <c r="J360" s="3">
        <v>175.3</v>
      </c>
      <c r="K360" s="3">
        <v>171.2</v>
      </c>
      <c r="L360" s="3">
        <v>122.7</v>
      </c>
      <c r="M360" s="3">
        <v>204.3</v>
      </c>
      <c r="N360" s="3">
        <v>163.69999999999999</v>
      </c>
      <c r="O360" s="3">
        <v>194.3</v>
      </c>
      <c r="P360" s="3">
        <v>179.5</v>
      </c>
      <c r="Q360" s="3">
        <v>201.6</v>
      </c>
      <c r="R360" s="3">
        <v>178.7</v>
      </c>
      <c r="S360" s="3">
        <v>165.3</v>
      </c>
      <c r="T360" s="3">
        <v>176.6</v>
      </c>
      <c r="U360" s="3">
        <v>172.1</v>
      </c>
      <c r="V360" s="3">
        <f t="shared" si="48"/>
        <v>172.1</v>
      </c>
      <c r="W360" s="3">
        <v>180.1</v>
      </c>
      <c r="X360" s="3">
        <v>168</v>
      </c>
      <c r="Y360" s="3">
        <v>178.5</v>
      </c>
      <c r="Z360" s="3">
        <v>159.5</v>
      </c>
      <c r="AA360" s="3">
        <v>167.8</v>
      </c>
      <c r="AB360" s="3">
        <v>171.8</v>
      </c>
      <c r="AC360" s="3">
        <v>178.8</v>
      </c>
      <c r="AD360" s="3">
        <v>168.9</v>
      </c>
      <c r="AE360" s="3">
        <v>174.9</v>
      </c>
      <c r="AF360">
        <f t="shared" si="49"/>
        <v>2310.2000000000003</v>
      </c>
      <c r="AG360">
        <f t="shared" si="50"/>
        <v>520.6</v>
      </c>
      <c r="AH360">
        <f t="shared" si="51"/>
        <v>339.6</v>
      </c>
      <c r="AI360">
        <f t="shared" si="52"/>
        <v>511.90000000000003</v>
      </c>
      <c r="AJ360">
        <f t="shared" si="53"/>
        <v>357.3</v>
      </c>
      <c r="AK360">
        <f t="shared" si="54"/>
        <v>538.29999999999995</v>
      </c>
    </row>
    <row r="361" spans="1:40" x14ac:dyDescent="0.25">
      <c r="A361" s="6" t="s">
        <v>34</v>
      </c>
      <c r="B361" s="6">
        <v>2023</v>
      </c>
      <c r="C361" s="6" t="s">
        <v>31</v>
      </c>
      <c r="D361" s="3">
        <v>173.8</v>
      </c>
      <c r="E361" s="3">
        <v>210.7</v>
      </c>
      <c r="F361" s="3">
        <v>194.5</v>
      </c>
      <c r="G361" s="3">
        <v>174.6</v>
      </c>
      <c r="H361" s="3">
        <v>187.2</v>
      </c>
      <c r="I361" s="3">
        <v>158.30000000000001</v>
      </c>
      <c r="J361" s="3">
        <v>153.9</v>
      </c>
      <c r="K361" s="3">
        <v>170.9</v>
      </c>
      <c r="L361" s="3">
        <v>121.1</v>
      </c>
      <c r="M361" s="3">
        <v>208.4</v>
      </c>
      <c r="N361" s="3">
        <v>171.4</v>
      </c>
      <c r="O361" s="3">
        <v>191.2</v>
      </c>
      <c r="P361" s="3">
        <v>176.7</v>
      </c>
      <c r="Q361" s="3">
        <v>198.2</v>
      </c>
      <c r="R361" s="3">
        <v>184.9</v>
      </c>
      <c r="S361" s="3">
        <v>177.6</v>
      </c>
      <c r="T361" s="3">
        <v>183.8</v>
      </c>
      <c r="U361" s="3">
        <v>172.1</v>
      </c>
      <c r="V361" s="3">
        <f t="shared" si="48"/>
        <v>172.1</v>
      </c>
      <c r="W361" s="3">
        <v>182</v>
      </c>
      <c r="X361" s="3">
        <v>172.9</v>
      </c>
      <c r="Y361" s="3">
        <v>182.3</v>
      </c>
      <c r="Z361" s="3">
        <v>163.6</v>
      </c>
      <c r="AA361" s="3">
        <v>169.5</v>
      </c>
      <c r="AB361" s="3">
        <v>174.3</v>
      </c>
      <c r="AC361" s="3">
        <v>178.6</v>
      </c>
      <c r="AD361" s="3">
        <v>172.8</v>
      </c>
      <c r="AE361" s="3">
        <v>176.5</v>
      </c>
      <c r="AF361">
        <f t="shared" si="49"/>
        <v>2292.6999999999998</v>
      </c>
      <c r="AG361">
        <f t="shared" si="50"/>
        <v>546.29999999999995</v>
      </c>
      <c r="AH361">
        <f t="shared" si="51"/>
        <v>345.6</v>
      </c>
      <c r="AI361">
        <f t="shared" si="52"/>
        <v>519.29999999999995</v>
      </c>
      <c r="AJ361">
        <f t="shared" si="53"/>
        <v>360.9</v>
      </c>
      <c r="AK361">
        <f t="shared" si="54"/>
        <v>540.5</v>
      </c>
    </row>
    <row r="362" spans="1:40" x14ac:dyDescent="0.25">
      <c r="A362" s="6" t="s">
        <v>30</v>
      </c>
      <c r="B362" s="6">
        <v>2023</v>
      </c>
      <c r="C362" s="6" t="s">
        <v>35</v>
      </c>
      <c r="D362" s="3">
        <v>174.2</v>
      </c>
      <c r="E362" s="3">
        <v>205.2</v>
      </c>
      <c r="F362" s="3">
        <v>173.9</v>
      </c>
      <c r="G362" s="3">
        <v>177</v>
      </c>
      <c r="H362" s="3">
        <v>183.4</v>
      </c>
      <c r="I362" s="3">
        <v>167.2</v>
      </c>
      <c r="J362" s="3">
        <v>140.9</v>
      </c>
      <c r="K362" s="3">
        <v>170.4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v>198.3</v>
      </c>
      <c r="R362" s="3">
        <v>190</v>
      </c>
      <c r="S362" s="3">
        <v>187</v>
      </c>
      <c r="T362" s="3">
        <v>189.6</v>
      </c>
      <c r="U362" s="3" t="s">
        <v>32</v>
      </c>
      <c r="V362" s="3">
        <f t="shared" si="48"/>
        <v>173.5</v>
      </c>
      <c r="W362" s="3">
        <v>181.6</v>
      </c>
      <c r="X362" s="3">
        <v>178.6</v>
      </c>
      <c r="Y362" s="3">
        <v>186.6</v>
      </c>
      <c r="Z362" s="3">
        <v>169</v>
      </c>
      <c r="AA362" s="3">
        <v>172.8</v>
      </c>
      <c r="AB362" s="3">
        <v>178.5</v>
      </c>
      <c r="AC362" s="3">
        <v>180.7</v>
      </c>
      <c r="AD362" s="3">
        <v>177.9</v>
      </c>
      <c r="AE362" s="3">
        <v>178</v>
      </c>
      <c r="AF362">
        <f t="shared" si="49"/>
        <v>2265.6999999999998</v>
      </c>
      <c r="AG362">
        <f t="shared" si="50"/>
        <v>566.6</v>
      </c>
      <c r="AH362">
        <f t="shared" si="51"/>
        <v>350.6</v>
      </c>
      <c r="AI362">
        <f t="shared" si="52"/>
        <v>530.6</v>
      </c>
      <c r="AJ362">
        <f t="shared" si="53"/>
        <v>367.29999999999995</v>
      </c>
      <c r="AK362">
        <f t="shared" si="54"/>
        <v>549</v>
      </c>
    </row>
    <row r="363" spans="1:40" x14ac:dyDescent="0.25">
      <c r="A363" s="6" t="s">
        <v>33</v>
      </c>
      <c r="B363" s="6">
        <v>2023</v>
      </c>
      <c r="C363" s="6" t="s">
        <v>35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175.8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180.7</v>
      </c>
      <c r="Q363" s="3">
        <v>202.7</v>
      </c>
      <c r="R363" s="3">
        <v>180.3</v>
      </c>
      <c r="S363" s="3">
        <v>167</v>
      </c>
      <c r="T363" s="3">
        <v>178.2</v>
      </c>
      <c r="U363" s="3">
        <v>173.5</v>
      </c>
      <c r="V363" s="3">
        <f t="shared" si="48"/>
        <v>173.5</v>
      </c>
      <c r="W363" s="3">
        <v>182.8</v>
      </c>
      <c r="X363" s="3">
        <v>169.2</v>
      </c>
      <c r="Y363" s="3">
        <v>180.8</v>
      </c>
      <c r="Z363" s="3">
        <v>159.80000000000001</v>
      </c>
      <c r="AA363" s="3">
        <v>168.4</v>
      </c>
      <c r="AB363" s="3">
        <v>172.5</v>
      </c>
      <c r="AC363" s="3">
        <v>181.4</v>
      </c>
      <c r="AD363" s="3">
        <v>170</v>
      </c>
      <c r="AE363" s="3">
        <v>176.3</v>
      </c>
      <c r="AF363">
        <f t="shared" si="49"/>
        <v>2303.1999999999998</v>
      </c>
      <c r="AG363">
        <f t="shared" si="50"/>
        <v>525.5</v>
      </c>
      <c r="AH363">
        <f t="shared" si="51"/>
        <v>342.6</v>
      </c>
      <c r="AI363">
        <f t="shared" si="52"/>
        <v>515.20000000000005</v>
      </c>
      <c r="AJ363">
        <f t="shared" si="53"/>
        <v>362.20000000000005</v>
      </c>
      <c r="AK363">
        <f t="shared" si="54"/>
        <v>541.1</v>
      </c>
    </row>
    <row r="364" spans="1:40" x14ac:dyDescent="0.25">
      <c r="A364" s="6" t="s">
        <v>34</v>
      </c>
      <c r="B364" s="6">
        <v>2023</v>
      </c>
      <c r="C364" s="6" t="s">
        <v>35</v>
      </c>
      <c r="D364" s="3">
        <v>174.4</v>
      </c>
      <c r="E364" s="3">
        <v>207.7</v>
      </c>
      <c r="F364" s="3">
        <v>175.2</v>
      </c>
      <c r="G364" s="3">
        <v>177.3</v>
      </c>
      <c r="H364" s="3">
        <v>179.3</v>
      </c>
      <c r="I364" s="3">
        <v>169.5</v>
      </c>
      <c r="J364" s="3">
        <v>152.69999999999999</v>
      </c>
      <c r="K364" s="3">
        <v>171</v>
      </c>
      <c r="L364" s="3">
        <v>120</v>
      </c>
      <c r="M364" s="3">
        <v>209.7</v>
      </c>
      <c r="N364" s="3">
        <v>172.3</v>
      </c>
      <c r="O364" s="3">
        <v>193</v>
      </c>
      <c r="P364" s="3">
        <v>177</v>
      </c>
      <c r="Q364" s="3">
        <v>199.5</v>
      </c>
      <c r="R364" s="3">
        <v>186.2</v>
      </c>
      <c r="S364" s="3">
        <v>178.7</v>
      </c>
      <c r="T364" s="3">
        <v>185.1</v>
      </c>
      <c r="U364" s="3">
        <v>173.5</v>
      </c>
      <c r="V364" s="3">
        <f t="shared" si="48"/>
        <v>173.5</v>
      </c>
      <c r="W364" s="3">
        <v>182.1</v>
      </c>
      <c r="X364" s="3">
        <v>174.2</v>
      </c>
      <c r="Y364" s="3">
        <v>184.4</v>
      </c>
      <c r="Z364" s="3">
        <v>164.2</v>
      </c>
      <c r="AA364" s="3">
        <v>170.3</v>
      </c>
      <c r="AB364" s="3">
        <v>175</v>
      </c>
      <c r="AC364" s="3">
        <v>181</v>
      </c>
      <c r="AD364" s="3">
        <v>174.1</v>
      </c>
      <c r="AE364" s="3">
        <v>177.2</v>
      </c>
      <c r="AF364">
        <f t="shared" si="49"/>
        <v>2279.1</v>
      </c>
      <c r="AG364">
        <f t="shared" si="50"/>
        <v>550</v>
      </c>
      <c r="AH364">
        <f t="shared" si="51"/>
        <v>346.29999999999995</v>
      </c>
      <c r="AI364">
        <f t="shared" si="52"/>
        <v>522.70000000000005</v>
      </c>
      <c r="AJ364">
        <f t="shared" si="53"/>
        <v>365.4</v>
      </c>
      <c r="AK364">
        <f t="shared" si="54"/>
        <v>543.9</v>
      </c>
    </row>
    <row r="365" spans="1:40" x14ac:dyDescent="0.25">
      <c r="A365" s="6" t="s">
        <v>30</v>
      </c>
      <c r="B365" s="6">
        <v>2023</v>
      </c>
      <c r="C365" s="6" t="s">
        <v>36</v>
      </c>
      <c r="D365" s="3">
        <v>174.3</v>
      </c>
      <c r="E365" s="3">
        <v>205.2</v>
      </c>
      <c r="F365" s="3">
        <v>173.9</v>
      </c>
      <c r="G365" s="3">
        <v>177</v>
      </c>
      <c r="H365" s="3">
        <v>183.3</v>
      </c>
      <c r="I365" s="3">
        <v>167.2</v>
      </c>
      <c r="J365" s="3">
        <v>140.9</v>
      </c>
      <c r="K365" s="3">
        <v>170.5</v>
      </c>
      <c r="L365" s="3">
        <v>119.1</v>
      </c>
      <c r="M365" s="3">
        <v>212.1</v>
      </c>
      <c r="N365" s="3">
        <v>177.6</v>
      </c>
      <c r="O365" s="3">
        <v>189.9</v>
      </c>
      <c r="P365" s="3">
        <v>174.8</v>
      </c>
      <c r="Q365" s="3">
        <v>198.4</v>
      </c>
      <c r="R365" s="3">
        <v>190</v>
      </c>
      <c r="S365" s="3">
        <v>187</v>
      </c>
      <c r="T365" s="3">
        <v>189.6</v>
      </c>
      <c r="U365" s="3" t="s">
        <v>32</v>
      </c>
      <c r="V365" s="3">
        <f t="shared" si="48"/>
        <v>173.5</v>
      </c>
      <c r="W365" s="3">
        <v>181.4</v>
      </c>
      <c r="X365" s="3">
        <v>178.6</v>
      </c>
      <c r="Y365" s="3">
        <v>186.6</v>
      </c>
      <c r="Z365" s="3">
        <v>169</v>
      </c>
      <c r="AA365" s="3">
        <v>172.8</v>
      </c>
      <c r="AB365" s="3">
        <v>178.5</v>
      </c>
      <c r="AC365" s="3">
        <v>180.7</v>
      </c>
      <c r="AD365" s="3">
        <v>177.9</v>
      </c>
      <c r="AE365" s="3">
        <v>178</v>
      </c>
      <c r="AF365">
        <f t="shared" si="49"/>
        <v>2265.8000000000002</v>
      </c>
      <c r="AG365">
        <f t="shared" si="50"/>
        <v>566.6</v>
      </c>
      <c r="AH365">
        <f t="shared" si="51"/>
        <v>350.4</v>
      </c>
      <c r="AI365">
        <f t="shared" si="52"/>
        <v>530.6</v>
      </c>
      <c r="AJ365">
        <f t="shared" si="53"/>
        <v>367.29999999999995</v>
      </c>
      <c r="AK365">
        <f t="shared" si="54"/>
        <v>549.1</v>
      </c>
    </row>
    <row r="366" spans="1:40" x14ac:dyDescent="0.25">
      <c r="A366" s="6" t="s">
        <v>33</v>
      </c>
      <c r="B366" s="6">
        <v>2023</v>
      </c>
      <c r="C366" s="6" t="s">
        <v>36</v>
      </c>
      <c r="D366" s="3">
        <v>174.7</v>
      </c>
      <c r="E366" s="3">
        <v>212.2</v>
      </c>
      <c r="F366" s="3">
        <v>177.2</v>
      </c>
      <c r="G366" s="3">
        <v>177.9</v>
      </c>
      <c r="H366" s="3">
        <v>172.2</v>
      </c>
      <c r="I366" s="3">
        <v>172.1</v>
      </c>
      <c r="J366" s="3">
        <v>175.9</v>
      </c>
      <c r="K366" s="3">
        <v>172.2</v>
      </c>
      <c r="L366" s="3">
        <v>121.9</v>
      </c>
      <c r="M366" s="3">
        <v>204.8</v>
      </c>
      <c r="N366" s="3">
        <v>164.9</v>
      </c>
      <c r="O366" s="3">
        <v>196.6</v>
      </c>
      <c r="P366" s="3">
        <v>180.8</v>
      </c>
      <c r="Q366" s="3">
        <v>202.7</v>
      </c>
      <c r="R366" s="3">
        <v>180.2</v>
      </c>
      <c r="S366" s="3">
        <v>167</v>
      </c>
      <c r="T366" s="3">
        <v>178.2</v>
      </c>
      <c r="U366" s="3">
        <v>173.5</v>
      </c>
      <c r="V366" s="3">
        <f t="shared" si="48"/>
        <v>173.5</v>
      </c>
      <c r="W366" s="3">
        <v>182.6</v>
      </c>
      <c r="X366" s="3">
        <v>169.2</v>
      </c>
      <c r="Y366" s="3">
        <v>180.8</v>
      </c>
      <c r="Z366" s="3">
        <v>159.80000000000001</v>
      </c>
      <c r="AA366" s="3">
        <v>168.4</v>
      </c>
      <c r="AB366" s="3">
        <v>172.5</v>
      </c>
      <c r="AC366" s="3">
        <v>181.5</v>
      </c>
      <c r="AD366" s="3">
        <v>170</v>
      </c>
      <c r="AE366" s="3">
        <v>176.3</v>
      </c>
      <c r="AF366">
        <f t="shared" si="49"/>
        <v>2303.4</v>
      </c>
      <c r="AG366">
        <f t="shared" si="50"/>
        <v>525.4</v>
      </c>
      <c r="AH366">
        <f t="shared" si="51"/>
        <v>342.4</v>
      </c>
      <c r="AI366">
        <f t="shared" si="52"/>
        <v>515.20000000000005</v>
      </c>
      <c r="AJ366">
        <f t="shared" si="53"/>
        <v>362.3</v>
      </c>
      <c r="AK366">
        <f t="shared" si="54"/>
        <v>541.1</v>
      </c>
    </row>
    <row r="367" spans="1:40" x14ac:dyDescent="0.25">
      <c r="A367" s="6" t="s">
        <v>34</v>
      </c>
      <c r="B367" s="6">
        <v>2023</v>
      </c>
      <c r="C367" s="6" t="s">
        <v>36</v>
      </c>
      <c r="D367" s="3">
        <v>174.4</v>
      </c>
      <c r="E367" s="3">
        <v>207.7</v>
      </c>
      <c r="F367" s="3">
        <v>175.2</v>
      </c>
      <c r="G367" s="3">
        <v>177.3</v>
      </c>
      <c r="H367" s="3">
        <v>179.2</v>
      </c>
      <c r="I367" s="3">
        <v>169.5</v>
      </c>
      <c r="J367" s="3">
        <v>152.80000000000001</v>
      </c>
      <c r="K367" s="3">
        <v>171.1</v>
      </c>
      <c r="L367" s="3">
        <v>120</v>
      </c>
      <c r="M367" s="3">
        <v>209.7</v>
      </c>
      <c r="N367" s="3">
        <v>172.3</v>
      </c>
      <c r="O367" s="3">
        <v>193</v>
      </c>
      <c r="P367" s="3">
        <v>177</v>
      </c>
      <c r="Q367" s="3">
        <v>199.5</v>
      </c>
      <c r="R367" s="3">
        <v>186.1</v>
      </c>
      <c r="S367" s="3">
        <v>178.7</v>
      </c>
      <c r="T367" s="3">
        <v>185.1</v>
      </c>
      <c r="U367" s="3">
        <v>173.5</v>
      </c>
      <c r="V367" s="3">
        <f t="shared" si="48"/>
        <v>173.5</v>
      </c>
      <c r="W367" s="3">
        <v>181.9</v>
      </c>
      <c r="X367" s="3">
        <v>174.2</v>
      </c>
      <c r="Y367" s="3">
        <v>184.4</v>
      </c>
      <c r="Z367" s="3">
        <v>164.2</v>
      </c>
      <c r="AA367" s="3">
        <v>170.3</v>
      </c>
      <c r="AB367" s="3">
        <v>175</v>
      </c>
      <c r="AC367" s="3">
        <v>181</v>
      </c>
      <c r="AD367" s="3">
        <v>174.1</v>
      </c>
      <c r="AE367" s="3">
        <v>177.2</v>
      </c>
      <c r="AF367">
        <f t="shared" si="49"/>
        <v>2279.1999999999998</v>
      </c>
      <c r="AG367">
        <f t="shared" si="50"/>
        <v>549.9</v>
      </c>
      <c r="AH367">
        <f t="shared" si="51"/>
        <v>346.1</v>
      </c>
      <c r="AI367">
        <f t="shared" si="52"/>
        <v>522.70000000000005</v>
      </c>
      <c r="AJ367">
        <f t="shared" si="53"/>
        <v>365.4</v>
      </c>
      <c r="AK367">
        <f t="shared" si="54"/>
        <v>543.9</v>
      </c>
    </row>
    <row r="368" spans="1:40" x14ac:dyDescent="0.25">
      <c r="A368" s="6" t="s">
        <v>30</v>
      </c>
      <c r="B368" s="6">
        <v>2023</v>
      </c>
      <c r="C368" s="6" t="s">
        <v>37</v>
      </c>
      <c r="D368" s="3">
        <v>173.3</v>
      </c>
      <c r="E368" s="3">
        <v>206.9</v>
      </c>
      <c r="F368" s="3">
        <v>167.9</v>
      </c>
      <c r="G368" s="3">
        <v>178.2</v>
      </c>
      <c r="H368" s="3">
        <v>178.5</v>
      </c>
      <c r="I368" s="3">
        <v>173.7</v>
      </c>
      <c r="J368" s="3">
        <v>142.80000000000001</v>
      </c>
      <c r="K368" s="3">
        <v>172.8</v>
      </c>
      <c r="L368" s="3">
        <v>120.4</v>
      </c>
      <c r="M368" s="3">
        <v>215.5</v>
      </c>
      <c r="N368" s="3">
        <v>178.2</v>
      </c>
      <c r="O368" s="3">
        <v>190.5</v>
      </c>
      <c r="P368" s="3">
        <v>175.5</v>
      </c>
      <c r="Q368" s="3">
        <v>199.5</v>
      </c>
      <c r="R368" s="3">
        <v>190.7</v>
      </c>
      <c r="S368" s="3">
        <v>187.3</v>
      </c>
      <c r="T368" s="3">
        <v>190.2</v>
      </c>
      <c r="U368" s="3" t="s">
        <v>32</v>
      </c>
      <c r="V368" s="3">
        <f t="shared" si="48"/>
        <v>175.2</v>
      </c>
      <c r="W368" s="3">
        <v>181.5</v>
      </c>
      <c r="X368" s="3">
        <v>179.1</v>
      </c>
      <c r="Y368" s="3">
        <v>187.2</v>
      </c>
      <c r="Z368" s="3">
        <v>169.4</v>
      </c>
      <c r="AA368" s="3">
        <v>173.2</v>
      </c>
      <c r="AB368" s="3">
        <v>179.4</v>
      </c>
      <c r="AC368" s="3">
        <v>183.8</v>
      </c>
      <c r="AD368" s="3">
        <v>178.9</v>
      </c>
      <c r="AE368" s="3">
        <v>178.8</v>
      </c>
      <c r="AF368">
        <f t="shared" si="49"/>
        <v>2274.1999999999998</v>
      </c>
      <c r="AG368">
        <f t="shared" si="50"/>
        <v>568.20000000000005</v>
      </c>
      <c r="AH368">
        <f t="shared" si="51"/>
        <v>350.9</v>
      </c>
      <c r="AI368">
        <f t="shared" si="52"/>
        <v>533.69999999999993</v>
      </c>
      <c r="AJ368">
        <f t="shared" si="53"/>
        <v>371</v>
      </c>
      <c r="AK368">
        <f t="shared" si="54"/>
        <v>551.6</v>
      </c>
    </row>
    <row r="369" spans="1:37" x14ac:dyDescent="0.25">
      <c r="A369" s="6" t="s">
        <v>33</v>
      </c>
      <c r="B369" s="6">
        <v>2023</v>
      </c>
      <c r="C369" s="6" t="s">
        <v>37</v>
      </c>
      <c r="D369" s="3">
        <v>174.8</v>
      </c>
      <c r="E369" s="3">
        <v>213.7</v>
      </c>
      <c r="F369" s="3">
        <v>172.4</v>
      </c>
      <c r="G369" s="3">
        <v>178.8</v>
      </c>
      <c r="H369" s="3">
        <v>168.7</v>
      </c>
      <c r="I369" s="3">
        <v>179.2</v>
      </c>
      <c r="J369" s="3">
        <v>179.9</v>
      </c>
      <c r="K369" s="3">
        <v>174.7</v>
      </c>
      <c r="L369" s="3">
        <v>123.1</v>
      </c>
      <c r="M369" s="3">
        <v>207.8</v>
      </c>
      <c r="N369" s="3">
        <v>165.5</v>
      </c>
      <c r="O369" s="3">
        <v>197</v>
      </c>
      <c r="P369" s="3">
        <v>182.1</v>
      </c>
      <c r="Q369" s="3">
        <v>203.5</v>
      </c>
      <c r="R369" s="3">
        <v>181</v>
      </c>
      <c r="S369" s="3">
        <v>167.7</v>
      </c>
      <c r="T369" s="3">
        <v>178.9</v>
      </c>
      <c r="U369" s="3">
        <v>175.2</v>
      </c>
      <c r="V369" s="3">
        <f t="shared" si="48"/>
        <v>175.2</v>
      </c>
      <c r="W369" s="3">
        <v>182.1</v>
      </c>
      <c r="X369" s="3">
        <v>169.6</v>
      </c>
      <c r="Y369" s="3">
        <v>181.5</v>
      </c>
      <c r="Z369" s="3">
        <v>160.1</v>
      </c>
      <c r="AA369" s="3">
        <v>168.8</v>
      </c>
      <c r="AB369" s="3">
        <v>174.2</v>
      </c>
      <c r="AC369" s="3">
        <v>184.4</v>
      </c>
      <c r="AD369" s="3">
        <v>170.9</v>
      </c>
      <c r="AE369" s="3">
        <v>177.4</v>
      </c>
      <c r="AF369">
        <f t="shared" si="49"/>
        <v>2317.7000000000003</v>
      </c>
      <c r="AG369">
        <f t="shared" si="50"/>
        <v>527.6</v>
      </c>
      <c r="AH369">
        <f t="shared" si="51"/>
        <v>342.2</v>
      </c>
      <c r="AI369">
        <f t="shared" si="52"/>
        <v>519</v>
      </c>
      <c r="AJ369">
        <f t="shared" si="53"/>
        <v>365.9</v>
      </c>
      <c r="AK369">
        <f t="shared" si="54"/>
        <v>543.20000000000005</v>
      </c>
    </row>
    <row r="370" spans="1:37" x14ac:dyDescent="0.25">
      <c r="A370" s="6" t="s">
        <v>34</v>
      </c>
      <c r="B370" s="6">
        <v>2023</v>
      </c>
      <c r="C370" s="6" t="s">
        <v>37</v>
      </c>
      <c r="D370" s="3">
        <v>173.8</v>
      </c>
      <c r="E370" s="3">
        <v>209.3</v>
      </c>
      <c r="F370" s="3">
        <v>169.6</v>
      </c>
      <c r="G370" s="3">
        <v>178.4</v>
      </c>
      <c r="H370" s="3">
        <v>174.9</v>
      </c>
      <c r="I370" s="3">
        <v>176.3</v>
      </c>
      <c r="J370" s="3">
        <v>155.4</v>
      </c>
      <c r="K370" s="3">
        <v>173.4</v>
      </c>
      <c r="L370" s="3">
        <v>121.3</v>
      </c>
      <c r="M370" s="3">
        <v>212.9</v>
      </c>
      <c r="N370" s="3">
        <v>172.9</v>
      </c>
      <c r="O370" s="3">
        <v>193.5</v>
      </c>
      <c r="P370" s="3">
        <v>177.9</v>
      </c>
      <c r="Q370" s="3">
        <v>200.6</v>
      </c>
      <c r="R370" s="3">
        <v>186.9</v>
      </c>
      <c r="S370" s="3">
        <v>179.2</v>
      </c>
      <c r="T370" s="3">
        <v>185.7</v>
      </c>
      <c r="U370" s="3">
        <v>175.2</v>
      </c>
      <c r="V370" s="3">
        <f t="shared" si="48"/>
        <v>175.2</v>
      </c>
      <c r="W370" s="3">
        <v>181.7</v>
      </c>
      <c r="X370" s="3">
        <v>174.6</v>
      </c>
      <c r="Y370" s="3">
        <v>185</v>
      </c>
      <c r="Z370" s="3">
        <v>164.5</v>
      </c>
      <c r="AA370" s="3">
        <v>170.7</v>
      </c>
      <c r="AB370" s="3">
        <v>176.4</v>
      </c>
      <c r="AC370" s="3">
        <v>184</v>
      </c>
      <c r="AD370" s="3">
        <v>175</v>
      </c>
      <c r="AE370" s="3">
        <v>178.1</v>
      </c>
      <c r="AF370">
        <f t="shared" si="49"/>
        <v>2289.6000000000004</v>
      </c>
      <c r="AG370">
        <f t="shared" si="50"/>
        <v>551.79999999999995</v>
      </c>
      <c r="AH370">
        <f t="shared" si="51"/>
        <v>346.2</v>
      </c>
      <c r="AI370">
        <f t="shared" si="52"/>
        <v>526.19999999999993</v>
      </c>
      <c r="AJ370">
        <f t="shared" si="53"/>
        <v>369</v>
      </c>
      <c r="AK370">
        <f t="shared" si="54"/>
        <v>546.29999999999995</v>
      </c>
    </row>
    <row r="371" spans="1:37" x14ac:dyDescent="0.25">
      <c r="A371" s="6" t="s">
        <v>30</v>
      </c>
      <c r="B371" s="6">
        <v>2023</v>
      </c>
      <c r="C371" s="6" t="s">
        <v>38</v>
      </c>
      <c r="D371" s="3">
        <v>173.2</v>
      </c>
      <c r="E371" s="3">
        <v>211.5</v>
      </c>
      <c r="F371" s="3">
        <v>171</v>
      </c>
      <c r="G371" s="3">
        <v>179.6</v>
      </c>
      <c r="H371" s="3">
        <v>173.3</v>
      </c>
      <c r="I371" s="3">
        <v>169</v>
      </c>
      <c r="J371" s="3">
        <v>148.69999999999999</v>
      </c>
      <c r="K371" s="3">
        <v>174.9</v>
      </c>
      <c r="L371" s="3">
        <v>121.9</v>
      </c>
      <c r="M371" s="3">
        <v>221</v>
      </c>
      <c r="N371" s="3">
        <v>178.7</v>
      </c>
      <c r="O371" s="3">
        <v>191.1</v>
      </c>
      <c r="P371" s="3">
        <v>176.8</v>
      </c>
      <c r="Q371" s="3">
        <v>199.9</v>
      </c>
      <c r="R371" s="3">
        <v>191.2</v>
      </c>
      <c r="S371" s="3">
        <v>187.9</v>
      </c>
      <c r="T371" s="3">
        <v>190.8</v>
      </c>
      <c r="U371" s="3" t="s">
        <v>32</v>
      </c>
      <c r="V371" s="3">
        <f t="shared" si="48"/>
        <v>175.6</v>
      </c>
      <c r="W371" s="3">
        <v>182.5</v>
      </c>
      <c r="X371" s="3">
        <v>179.8</v>
      </c>
      <c r="Y371" s="3">
        <v>187.8</v>
      </c>
      <c r="Z371" s="3">
        <v>169.7</v>
      </c>
      <c r="AA371" s="3">
        <v>173.8</v>
      </c>
      <c r="AB371" s="3">
        <v>180.3</v>
      </c>
      <c r="AC371" s="3">
        <v>184.9</v>
      </c>
      <c r="AD371" s="3">
        <v>179.5</v>
      </c>
      <c r="AE371" s="3">
        <v>179.8</v>
      </c>
      <c r="AF371">
        <f t="shared" si="49"/>
        <v>2290.7000000000007</v>
      </c>
      <c r="AG371">
        <f t="shared" si="50"/>
        <v>569.90000000000009</v>
      </c>
      <c r="AH371">
        <f t="shared" si="51"/>
        <v>352.2</v>
      </c>
      <c r="AI371">
        <f t="shared" si="52"/>
        <v>535.70000000000005</v>
      </c>
      <c r="AJ371">
        <f t="shared" si="53"/>
        <v>372.70000000000005</v>
      </c>
      <c r="AK371">
        <f t="shared" si="54"/>
        <v>553.20000000000005</v>
      </c>
    </row>
    <row r="372" spans="1:37" x14ac:dyDescent="0.25">
      <c r="A372" s="6" t="s">
        <v>33</v>
      </c>
      <c r="B372" s="6">
        <v>2023</v>
      </c>
      <c r="C372" s="6" t="s">
        <v>38</v>
      </c>
      <c r="D372" s="3">
        <v>174.7</v>
      </c>
      <c r="E372" s="3">
        <v>219.4</v>
      </c>
      <c r="F372" s="3">
        <v>176.7</v>
      </c>
      <c r="G372" s="3">
        <v>179.4</v>
      </c>
      <c r="H372" s="3">
        <v>164.4</v>
      </c>
      <c r="I372" s="3">
        <v>175.8</v>
      </c>
      <c r="J372" s="3">
        <v>185</v>
      </c>
      <c r="K372" s="3">
        <v>176.9</v>
      </c>
      <c r="L372" s="3">
        <v>124.2</v>
      </c>
      <c r="M372" s="3">
        <v>211.9</v>
      </c>
      <c r="N372" s="3">
        <v>165.9</v>
      </c>
      <c r="O372" s="3">
        <v>197.7</v>
      </c>
      <c r="P372" s="3">
        <v>183.1</v>
      </c>
      <c r="Q372" s="3">
        <v>204.2</v>
      </c>
      <c r="R372" s="3">
        <v>181.3</v>
      </c>
      <c r="S372" s="3">
        <v>168.1</v>
      </c>
      <c r="T372" s="3">
        <v>179.3</v>
      </c>
      <c r="U372" s="3">
        <v>175.6</v>
      </c>
      <c r="V372" s="3">
        <f t="shared" si="48"/>
        <v>175.6</v>
      </c>
      <c r="W372" s="3">
        <v>183.4</v>
      </c>
      <c r="X372" s="3">
        <v>170.1</v>
      </c>
      <c r="Y372" s="3">
        <v>182.2</v>
      </c>
      <c r="Z372" s="3">
        <v>160.4</v>
      </c>
      <c r="AA372" s="3">
        <v>169.2</v>
      </c>
      <c r="AB372" s="3">
        <v>174.8</v>
      </c>
      <c r="AC372" s="3">
        <v>185.6</v>
      </c>
      <c r="AD372" s="3">
        <v>171.6</v>
      </c>
      <c r="AE372" s="3">
        <v>178.2</v>
      </c>
      <c r="AF372">
        <f t="shared" si="49"/>
        <v>2335.1</v>
      </c>
      <c r="AG372">
        <f t="shared" si="50"/>
        <v>528.70000000000005</v>
      </c>
      <c r="AH372">
        <f t="shared" si="51"/>
        <v>343.8</v>
      </c>
      <c r="AI372">
        <f t="shared" si="52"/>
        <v>520.5</v>
      </c>
      <c r="AJ372">
        <f t="shared" si="53"/>
        <v>367.79999999999995</v>
      </c>
      <c r="AK372">
        <f t="shared" si="54"/>
        <v>545</v>
      </c>
    </row>
    <row r="373" spans="1:37" x14ac:dyDescent="0.25">
      <c r="A373" s="6" t="s">
        <v>34</v>
      </c>
      <c r="B373" s="6">
        <v>2023</v>
      </c>
      <c r="C373" s="6" t="s">
        <v>38</v>
      </c>
      <c r="D373" s="3">
        <v>173.7</v>
      </c>
      <c r="E373" s="3">
        <v>214.3</v>
      </c>
      <c r="F373" s="3">
        <v>173.2</v>
      </c>
      <c r="G373" s="3">
        <v>179.5</v>
      </c>
      <c r="H373" s="3">
        <v>170</v>
      </c>
      <c r="I373" s="3">
        <v>172.2</v>
      </c>
      <c r="J373" s="3">
        <v>161</v>
      </c>
      <c r="K373" s="3">
        <v>175.6</v>
      </c>
      <c r="L373" s="3">
        <v>122.7</v>
      </c>
      <c r="M373" s="3">
        <v>218</v>
      </c>
      <c r="N373" s="3">
        <v>173.4</v>
      </c>
      <c r="O373" s="3">
        <v>194.2</v>
      </c>
      <c r="P373" s="3">
        <v>179.1</v>
      </c>
      <c r="Q373" s="3">
        <v>201</v>
      </c>
      <c r="R373" s="3">
        <v>187.3</v>
      </c>
      <c r="S373" s="3">
        <v>179.7</v>
      </c>
      <c r="T373" s="3">
        <v>186.2</v>
      </c>
      <c r="U373" s="3">
        <v>175.6</v>
      </c>
      <c r="V373" s="3">
        <f t="shared" si="48"/>
        <v>175.6</v>
      </c>
      <c r="W373" s="3">
        <v>182.8</v>
      </c>
      <c r="X373" s="3">
        <v>175.2</v>
      </c>
      <c r="Y373" s="3">
        <v>185.7</v>
      </c>
      <c r="Z373" s="3">
        <v>164.8</v>
      </c>
      <c r="AA373" s="3">
        <v>171.2</v>
      </c>
      <c r="AB373" s="3">
        <v>177.1</v>
      </c>
      <c r="AC373" s="3">
        <v>185.2</v>
      </c>
      <c r="AD373" s="3">
        <v>175.7</v>
      </c>
      <c r="AE373" s="3">
        <v>179.1</v>
      </c>
      <c r="AF373">
        <f t="shared" si="49"/>
        <v>2306.9</v>
      </c>
      <c r="AG373">
        <f t="shared" si="50"/>
        <v>553.20000000000005</v>
      </c>
      <c r="AH373">
        <f t="shared" si="51"/>
        <v>347.6</v>
      </c>
      <c r="AI373">
        <f t="shared" si="52"/>
        <v>527.9</v>
      </c>
      <c r="AJ373">
        <f t="shared" si="53"/>
        <v>370.9</v>
      </c>
      <c r="AK373">
        <f t="shared" si="54"/>
        <v>547.9</v>
      </c>
    </row>
  </sheetData>
  <autoFilter ref="A1:AE373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A9" sqref="A9"/>
    </sheetView>
  </sheetViews>
  <sheetFormatPr defaultRowHeight="15" x14ac:dyDescent="0.25"/>
  <cols>
    <col min="1" max="1" width="20.140625" customWidth="1"/>
    <col min="3" max="3" width="2.7109375" customWidth="1"/>
  </cols>
  <sheetData>
    <row r="1" spans="1:3" x14ac:dyDescent="0.25">
      <c r="A1" t="s">
        <v>108</v>
      </c>
      <c r="B1" t="s">
        <v>51</v>
      </c>
    </row>
    <row r="2" spans="1:3" x14ac:dyDescent="0.25">
      <c r="B2" t="s">
        <v>38</v>
      </c>
      <c r="C2" t="s">
        <v>49</v>
      </c>
    </row>
    <row r="3" spans="1:3" x14ac:dyDescent="0.25">
      <c r="B3" t="s">
        <v>37</v>
      </c>
      <c r="C3" t="s">
        <v>50</v>
      </c>
    </row>
    <row r="5" spans="1:3" x14ac:dyDescent="0.25">
      <c r="A5" t="s">
        <v>20</v>
      </c>
      <c r="B5" t="s">
        <v>52</v>
      </c>
    </row>
    <row r="6" spans="1:3" x14ac:dyDescent="0.25">
      <c r="B6" t="s">
        <v>107</v>
      </c>
    </row>
    <row r="8" spans="1:3" x14ac:dyDescent="0.25">
      <c r="A8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K3" sqref="K3"/>
    </sheetView>
  </sheetViews>
  <sheetFormatPr defaultRowHeight="15" x14ac:dyDescent="0.25"/>
  <cols>
    <col min="1" max="1" width="11.85546875" customWidth="1"/>
    <col min="5" max="7" width="9.140625" style="12"/>
  </cols>
  <sheetData>
    <row r="1" spans="1:8" x14ac:dyDescent="0.25">
      <c r="E1" s="23" t="s">
        <v>120</v>
      </c>
    </row>
    <row r="2" spans="1:8" x14ac:dyDescent="0.25">
      <c r="A2" s="8" t="s">
        <v>58</v>
      </c>
      <c r="B2" s="9" t="s">
        <v>30</v>
      </c>
      <c r="C2" s="9" t="s">
        <v>34</v>
      </c>
      <c r="D2" s="9" t="s">
        <v>33</v>
      </c>
      <c r="E2" s="19" t="s">
        <v>30</v>
      </c>
      <c r="F2" s="19" t="s">
        <v>33</v>
      </c>
      <c r="G2" s="19" t="s">
        <v>34</v>
      </c>
      <c r="H2" s="3"/>
    </row>
    <row r="3" spans="1:8" x14ac:dyDescent="0.25">
      <c r="A3" s="8" t="s">
        <v>59</v>
      </c>
      <c r="B3">
        <v>2290.7000000000007</v>
      </c>
      <c r="C3">
        <v>2306.9</v>
      </c>
      <c r="D3">
        <v>2335.1</v>
      </c>
      <c r="E3" s="17">
        <f>B3/B9</f>
        <v>0.4900521992127333</v>
      </c>
      <c r="F3" s="17">
        <f>C3/C9</f>
        <v>0.49563853557923682</v>
      </c>
      <c r="G3" s="17">
        <f>D3/D9</f>
        <v>0.50315671529229233</v>
      </c>
      <c r="H3" s="3"/>
    </row>
    <row r="4" spans="1:8" x14ac:dyDescent="0.25">
      <c r="A4" s="8" t="s">
        <v>60</v>
      </c>
      <c r="B4">
        <v>569.90000000000009</v>
      </c>
      <c r="C4">
        <v>553.20000000000005</v>
      </c>
      <c r="D4">
        <v>528.70000000000005</v>
      </c>
      <c r="E4" s="17">
        <f>B4/B9</f>
        <v>0.12191939072394319</v>
      </c>
      <c r="F4" s="17">
        <f>C4/C9</f>
        <v>0.11885527672739772</v>
      </c>
      <c r="G4" s="17">
        <f>D4/D9</f>
        <v>0.11392186860307267</v>
      </c>
      <c r="H4" s="3"/>
    </row>
    <row r="5" spans="1:8" x14ac:dyDescent="0.25">
      <c r="A5" s="8" t="s">
        <v>63</v>
      </c>
      <c r="B5">
        <v>553.20000000000005</v>
      </c>
      <c r="C5">
        <v>547.9</v>
      </c>
      <c r="D5">
        <v>545</v>
      </c>
      <c r="E5" s="17">
        <f>B5/B9</f>
        <v>0.11834673968851617</v>
      </c>
      <c r="F5" s="17">
        <f>C5/C9</f>
        <v>0.1177165692677896</v>
      </c>
      <c r="G5" s="17">
        <f>D5/D9</f>
        <v>0.11743411838221034</v>
      </c>
      <c r="H5" s="3"/>
    </row>
    <row r="6" spans="1:8" x14ac:dyDescent="0.25">
      <c r="A6" s="8" t="s">
        <v>66</v>
      </c>
      <c r="B6">
        <v>372.70000000000005</v>
      </c>
      <c r="C6">
        <v>370.9</v>
      </c>
      <c r="D6">
        <v>367.79999999999995</v>
      </c>
      <c r="E6" s="17">
        <f>B6/B9</f>
        <v>7.9732158137942835E-2</v>
      </c>
      <c r="F6" s="17">
        <f>C6/C9</f>
        <v>7.9688037126160183E-2</v>
      </c>
      <c r="G6" s="17">
        <f>D6/D9</f>
        <v>7.9251869249499007E-2</v>
      </c>
      <c r="H6" s="3"/>
    </row>
    <row r="7" spans="1:8" x14ac:dyDescent="0.25">
      <c r="A7" s="8" t="s">
        <v>61</v>
      </c>
      <c r="B7">
        <v>352.2</v>
      </c>
      <c r="C7">
        <v>347.6</v>
      </c>
      <c r="D7">
        <v>343.8</v>
      </c>
      <c r="E7" s="17">
        <f>B7/B9</f>
        <v>7.5346568543556383E-2</v>
      </c>
      <c r="F7" s="17">
        <f>C7/C9</f>
        <v>7.4682021313166036E-2</v>
      </c>
      <c r="G7" s="17">
        <f>D7/D9</f>
        <v>7.4080458531750298E-2</v>
      </c>
      <c r="H7" s="3"/>
    </row>
    <row r="8" spans="1:8" x14ac:dyDescent="0.25">
      <c r="A8" s="8" t="s">
        <v>62</v>
      </c>
      <c r="B8">
        <v>535.70000000000005</v>
      </c>
      <c r="C8">
        <v>527.9</v>
      </c>
      <c r="D8">
        <v>520.5</v>
      </c>
      <c r="E8" s="17">
        <f>B8/B9</f>
        <v>0.11460294369330823</v>
      </c>
      <c r="F8" s="17">
        <f>C8/C9</f>
        <v>0.11341955998624956</v>
      </c>
      <c r="G8" s="17">
        <f>D8/D9</f>
        <v>0.11215496994117519</v>
      </c>
      <c r="H8" s="3"/>
    </row>
    <row r="9" spans="1:8" x14ac:dyDescent="0.25">
      <c r="A9" s="13" t="s">
        <v>67</v>
      </c>
      <c r="B9">
        <f>SUM(B3:B8)</f>
        <v>4674.4000000000005</v>
      </c>
      <c r="C9">
        <f>SUM(C3:C8)</f>
        <v>4654.4000000000005</v>
      </c>
      <c r="D9">
        <f>SUM(D3:D8)</f>
        <v>4640.9000000000005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10"/>
  <sheetViews>
    <sheetView workbookViewId="0">
      <selection activeCell="B1" sqref="B1"/>
    </sheetView>
  </sheetViews>
  <sheetFormatPr defaultRowHeight="15" x14ac:dyDescent="0.25"/>
  <sheetData>
    <row r="2" spans="2:13" x14ac:dyDescent="0.25">
      <c r="B2" s="14" t="s">
        <v>1</v>
      </c>
      <c r="C2" s="14" t="s">
        <v>68</v>
      </c>
    </row>
    <row r="3" spans="2:13" x14ac:dyDescent="0.25">
      <c r="B3" s="3">
        <v>2017</v>
      </c>
      <c r="C3" s="15">
        <v>2.75E-2</v>
      </c>
      <c r="M3" s="22" t="s">
        <v>113</v>
      </c>
    </row>
    <row r="4" spans="2:13" x14ac:dyDescent="0.25">
      <c r="B4" s="3">
        <v>2018</v>
      </c>
      <c r="C4" s="15">
        <v>3.3099999999999997E-2</v>
      </c>
    </row>
    <row r="5" spans="2:13" x14ac:dyDescent="0.25">
      <c r="B5" s="3">
        <v>2019</v>
      </c>
      <c r="C5" s="15">
        <v>3.6299999999999999E-2</v>
      </c>
      <c r="L5">
        <v>1</v>
      </c>
      <c r="M5" t="s">
        <v>114</v>
      </c>
    </row>
    <row r="6" spans="2:13" x14ac:dyDescent="0.25">
      <c r="B6" s="3">
        <v>2020</v>
      </c>
      <c r="C6" s="15">
        <v>6.4600000000000005E-2</v>
      </c>
      <c r="M6" t="s">
        <v>119</v>
      </c>
    </row>
    <row r="7" spans="2:13" x14ac:dyDescent="0.25">
      <c r="B7" s="3">
        <v>2021</v>
      </c>
      <c r="C7" s="15">
        <v>6.5500000000000003E-2</v>
      </c>
      <c r="L7">
        <v>2</v>
      </c>
      <c r="M7" t="s">
        <v>115</v>
      </c>
    </row>
    <row r="8" spans="2:13" x14ac:dyDescent="0.25">
      <c r="B8" s="3">
        <v>2022</v>
      </c>
      <c r="C8" s="15">
        <v>6.3799999999999996E-2</v>
      </c>
      <c r="M8" t="s">
        <v>116</v>
      </c>
    </row>
    <row r="9" spans="2:13" x14ac:dyDescent="0.25">
      <c r="L9">
        <v>3</v>
      </c>
      <c r="M9" t="s">
        <v>117</v>
      </c>
    </row>
    <row r="10" spans="2:13" x14ac:dyDescent="0.25">
      <c r="M10" t="s">
        <v>118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3:P32"/>
  <sheetViews>
    <sheetView topLeftCell="B2" workbookViewId="0">
      <selection activeCell="E4" sqref="E4:F16"/>
    </sheetView>
  </sheetViews>
  <sheetFormatPr defaultRowHeight="15" x14ac:dyDescent="0.25"/>
  <cols>
    <col min="4" max="4" width="0" hidden="1" customWidth="1"/>
    <col min="5" max="5" width="12" style="12" customWidth="1"/>
  </cols>
  <sheetData>
    <row r="3" spans="5:16" x14ac:dyDescent="0.25">
      <c r="E3"/>
    </row>
    <row r="4" spans="5:16" x14ac:dyDescent="0.25">
      <c r="E4" s="14" t="s">
        <v>2</v>
      </c>
      <c r="F4" s="14" t="s">
        <v>68</v>
      </c>
    </row>
    <row r="5" spans="5:16" x14ac:dyDescent="0.25">
      <c r="E5" s="3" t="s">
        <v>39</v>
      </c>
      <c r="F5" s="15">
        <v>1.03E-2</v>
      </c>
    </row>
    <row r="6" spans="5:16" x14ac:dyDescent="0.25">
      <c r="E6" s="3" t="s">
        <v>40</v>
      </c>
      <c r="F6" s="15">
        <v>1.9E-3</v>
      </c>
    </row>
    <row r="7" spans="5:16" x14ac:dyDescent="0.25">
      <c r="E7" s="3" t="s">
        <v>41</v>
      </c>
      <c r="F7" s="15">
        <v>1.1999999999999999E-3</v>
      </c>
    </row>
    <row r="8" spans="5:16" x14ac:dyDescent="0.25">
      <c r="E8" s="3" t="s">
        <v>42</v>
      </c>
      <c r="F8" s="15">
        <v>5.3E-3</v>
      </c>
      <c r="O8">
        <v>1</v>
      </c>
      <c r="P8" t="s">
        <v>69</v>
      </c>
    </row>
    <row r="9" spans="5:16" x14ac:dyDescent="0.25">
      <c r="E9" s="3" t="s">
        <v>43</v>
      </c>
      <c r="F9" s="15">
        <v>7.1000000000000004E-3</v>
      </c>
      <c r="O9">
        <v>2</v>
      </c>
      <c r="P9" t="s">
        <v>70</v>
      </c>
    </row>
    <row r="10" spans="5:16" x14ac:dyDescent="0.25">
      <c r="E10" s="3" t="s">
        <v>45</v>
      </c>
      <c r="F10" s="15">
        <v>-8.0000000000000004E-4</v>
      </c>
    </row>
    <row r="11" spans="5:16" x14ac:dyDescent="0.25">
      <c r="E11" s="3" t="s">
        <v>46</v>
      </c>
      <c r="F11" s="15">
        <v>-6.1999999999999998E-3</v>
      </c>
    </row>
    <row r="12" spans="5:16" x14ac:dyDescent="0.25">
      <c r="E12" s="3" t="s">
        <v>31</v>
      </c>
      <c r="F12" s="15">
        <v>4.3E-3</v>
      </c>
    </row>
    <row r="13" spans="5:16" x14ac:dyDescent="0.25">
      <c r="E13" s="3" t="s">
        <v>35</v>
      </c>
      <c r="F13" s="15">
        <v>-5.4999999999999997E-3</v>
      </c>
    </row>
    <row r="14" spans="5:16" x14ac:dyDescent="0.25">
      <c r="E14" s="3" t="s">
        <v>36</v>
      </c>
      <c r="F14" s="15">
        <v>1E-4</v>
      </c>
    </row>
    <row r="15" spans="5:16" x14ac:dyDescent="0.25">
      <c r="E15" s="3" t="s">
        <v>37</v>
      </c>
      <c r="F15" s="15">
        <v>4.7999999999999996E-3</v>
      </c>
    </row>
    <row r="16" spans="5:16" x14ac:dyDescent="0.25">
      <c r="E16" s="3" t="s">
        <v>38</v>
      </c>
      <c r="F16" s="15">
        <v>7.4000000000000003E-3</v>
      </c>
    </row>
    <row r="18" spans="5:15" x14ac:dyDescent="0.25">
      <c r="E18" s="17" t="s">
        <v>2</v>
      </c>
      <c r="F18" s="14" t="s">
        <v>84</v>
      </c>
      <c r="G18" s="14" t="s">
        <v>85</v>
      </c>
      <c r="J18" s="14" t="s">
        <v>86</v>
      </c>
      <c r="K18" s="18">
        <v>45047</v>
      </c>
      <c r="L18" s="18">
        <v>44713</v>
      </c>
      <c r="M18" s="14" t="s">
        <v>87</v>
      </c>
    </row>
    <row r="19" spans="5:15" x14ac:dyDescent="0.25">
      <c r="E19" s="16" t="s">
        <v>39</v>
      </c>
      <c r="F19" s="3">
        <v>6797.7</v>
      </c>
      <c r="G19" s="3"/>
      <c r="J19" s="16" t="s">
        <v>71</v>
      </c>
      <c r="K19" s="3">
        <v>521.59999999999991</v>
      </c>
      <c r="L19" s="3">
        <v>466.3</v>
      </c>
      <c r="M19" s="3">
        <f>K19-L19</f>
        <v>55.299999999999898</v>
      </c>
    </row>
    <row r="20" spans="5:15" x14ac:dyDescent="0.25">
      <c r="E20" s="16" t="s">
        <v>40</v>
      </c>
      <c r="F20" s="3">
        <v>6810.4</v>
      </c>
      <c r="G20" s="3">
        <f>F20-F19</f>
        <v>12.699999999999818</v>
      </c>
      <c r="J20" s="16" t="s">
        <v>72</v>
      </c>
      <c r="K20" s="3">
        <v>645.20000000000005</v>
      </c>
      <c r="L20" s="3">
        <v>660</v>
      </c>
      <c r="M20" s="3">
        <f t="shared" ref="M20:M31" si="0">K20-L20</f>
        <v>-14.799999999999955</v>
      </c>
    </row>
    <row r="21" spans="5:15" x14ac:dyDescent="0.25">
      <c r="E21" s="16" t="s">
        <v>41</v>
      </c>
      <c r="F21" s="3">
        <v>6818.6999999999989</v>
      </c>
      <c r="G21" s="3">
        <f>F21-F20</f>
        <v>8.2999999999992724</v>
      </c>
      <c r="J21" s="16" t="s">
        <v>80</v>
      </c>
      <c r="K21" s="3">
        <v>527.4</v>
      </c>
      <c r="L21" s="3">
        <v>492.5</v>
      </c>
      <c r="M21" s="3">
        <f t="shared" si="0"/>
        <v>34.899999999999977</v>
      </c>
      <c r="O21" t="s">
        <v>88</v>
      </c>
    </row>
    <row r="22" spans="5:15" x14ac:dyDescent="0.25">
      <c r="E22" s="16" t="s">
        <v>42</v>
      </c>
      <c r="F22" s="3">
        <v>6855.1</v>
      </c>
      <c r="G22" s="3">
        <f t="shared" ref="G22:G30" si="1">F22-F21</f>
        <v>36.400000000001455</v>
      </c>
      <c r="J22" s="16" t="s">
        <v>73</v>
      </c>
      <c r="K22" s="3">
        <v>520.9</v>
      </c>
      <c r="L22" s="3">
        <v>513.20000000000005</v>
      </c>
      <c r="M22" s="3">
        <f t="shared" si="0"/>
        <v>7.6999999999999318</v>
      </c>
    </row>
    <row r="23" spans="5:15" x14ac:dyDescent="0.25">
      <c r="E23" s="16" t="s">
        <v>43</v>
      </c>
      <c r="F23" s="3">
        <v>6904.1</v>
      </c>
      <c r="G23" s="3">
        <f t="shared" si="1"/>
        <v>49</v>
      </c>
      <c r="J23" s="16" t="s">
        <v>79</v>
      </c>
      <c r="K23" s="3">
        <v>518</v>
      </c>
      <c r="L23" s="3">
        <v>501.2</v>
      </c>
      <c r="M23" s="3">
        <f t="shared" si="0"/>
        <v>16.800000000000011</v>
      </c>
    </row>
    <row r="24" spans="5:15" x14ac:dyDescent="0.25">
      <c r="E24" s="16" t="s">
        <v>45</v>
      </c>
      <c r="F24" s="3">
        <v>6898.9000000000005</v>
      </c>
      <c r="G24" s="3">
        <f t="shared" si="1"/>
        <v>-5.1999999999998181</v>
      </c>
      <c r="J24" s="16" t="s">
        <v>83</v>
      </c>
      <c r="K24" s="3">
        <v>583</v>
      </c>
      <c r="L24" s="3">
        <v>552.1</v>
      </c>
      <c r="M24" s="3">
        <f t="shared" si="0"/>
        <v>30.899999999999977</v>
      </c>
    </row>
    <row r="25" spans="5:15" x14ac:dyDescent="0.25">
      <c r="E25" s="16" t="s">
        <v>46</v>
      </c>
      <c r="F25" s="3">
        <v>6856.2999999999993</v>
      </c>
      <c r="G25" s="3">
        <f t="shared" si="1"/>
        <v>-42.600000000001273</v>
      </c>
      <c r="J25" s="16" t="s">
        <v>82</v>
      </c>
      <c r="K25" s="3">
        <v>539</v>
      </c>
      <c r="L25" s="3">
        <v>526.6</v>
      </c>
      <c r="M25" s="3">
        <f t="shared" si="0"/>
        <v>12.399999999999977</v>
      </c>
    </row>
    <row r="26" spans="5:15" x14ac:dyDescent="0.25">
      <c r="E26" s="16" t="s">
        <v>31</v>
      </c>
      <c r="F26" s="3">
        <v>6886.1</v>
      </c>
      <c r="G26" s="3">
        <f t="shared" si="1"/>
        <v>29.800000000001091</v>
      </c>
      <c r="J26" s="16" t="s">
        <v>75</v>
      </c>
      <c r="K26" s="3">
        <v>368.8</v>
      </c>
      <c r="L26" s="3">
        <v>360.4</v>
      </c>
      <c r="M26" s="3">
        <f t="shared" si="0"/>
        <v>8.4000000000000341</v>
      </c>
    </row>
    <row r="27" spans="5:15" x14ac:dyDescent="0.25">
      <c r="E27" s="16" t="s">
        <v>35</v>
      </c>
      <c r="F27" s="3">
        <v>6847.9999999999991</v>
      </c>
      <c r="G27" s="3">
        <f t="shared" si="1"/>
        <v>-38.100000000001273</v>
      </c>
      <c r="J27" s="16" t="s">
        <v>77</v>
      </c>
      <c r="K27" s="3">
        <v>650.9</v>
      </c>
      <c r="L27" s="3">
        <v>559.5</v>
      </c>
      <c r="M27" s="3">
        <f t="shared" si="0"/>
        <v>91.399999999999977</v>
      </c>
    </row>
    <row r="28" spans="5:15" x14ac:dyDescent="0.25">
      <c r="E28" s="16" t="s">
        <v>36</v>
      </c>
      <c r="F28" s="3">
        <v>6848.4000000000005</v>
      </c>
      <c r="G28" s="3">
        <f t="shared" si="1"/>
        <v>0.40000000000145519</v>
      </c>
      <c r="J28" s="16" t="s">
        <v>74</v>
      </c>
      <c r="K28" s="3">
        <v>507.7</v>
      </c>
      <c r="L28" s="3">
        <v>597.6</v>
      </c>
      <c r="M28" s="3">
        <f t="shared" si="0"/>
        <v>-89.900000000000034</v>
      </c>
    </row>
    <row r="29" spans="5:15" x14ac:dyDescent="0.25">
      <c r="E29" s="16" t="s">
        <v>37</v>
      </c>
      <c r="F29" s="3">
        <v>6881.5000000000009</v>
      </c>
      <c r="G29" s="3">
        <f t="shared" si="1"/>
        <v>33.100000000000364</v>
      </c>
      <c r="J29" s="16" t="s">
        <v>78</v>
      </c>
      <c r="K29" s="3">
        <v>538.5</v>
      </c>
      <c r="L29" s="3">
        <v>497.6</v>
      </c>
      <c r="M29" s="3">
        <f t="shared" si="0"/>
        <v>40.899999999999977</v>
      </c>
    </row>
    <row r="30" spans="5:15" x14ac:dyDescent="0.25">
      <c r="E30" s="16" t="s">
        <v>38</v>
      </c>
      <c r="F30" s="3">
        <v>6932.7000000000007</v>
      </c>
      <c r="G30" s="3">
        <f t="shared" si="1"/>
        <v>51.199999999999818</v>
      </c>
      <c r="J30" s="16" t="s">
        <v>76</v>
      </c>
      <c r="K30" s="3">
        <v>517</v>
      </c>
      <c r="L30" s="3">
        <v>509.59999999999997</v>
      </c>
      <c r="M30" s="3">
        <f t="shared" si="0"/>
        <v>7.4000000000000341</v>
      </c>
    </row>
    <row r="31" spans="5:15" x14ac:dyDescent="0.25">
      <c r="E31"/>
      <c r="J31" s="16" t="s">
        <v>81</v>
      </c>
      <c r="K31" s="3">
        <v>494.7</v>
      </c>
      <c r="L31" s="3">
        <v>561.1</v>
      </c>
      <c r="M31" s="3">
        <f t="shared" si="0"/>
        <v>-66.400000000000034</v>
      </c>
    </row>
    <row r="32" spans="5:15" x14ac:dyDescent="0.25">
      <c r="E32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workbookViewId="0">
      <selection activeCell="J2" sqref="J2"/>
    </sheetView>
  </sheetViews>
  <sheetFormatPr defaultRowHeight="15" x14ac:dyDescent="0.25"/>
  <sheetData>
    <row r="1" spans="1:13" x14ac:dyDescent="0.25">
      <c r="A1" s="14" t="s">
        <v>94</v>
      </c>
      <c r="B1" s="14" t="s">
        <v>53</v>
      </c>
      <c r="C1" s="14" t="s">
        <v>95</v>
      </c>
      <c r="D1" s="14" t="s">
        <v>56</v>
      </c>
      <c r="E1" s="14" t="s">
        <v>96</v>
      </c>
      <c r="F1" s="14" t="s">
        <v>97</v>
      </c>
      <c r="G1" s="14" t="s">
        <v>98</v>
      </c>
    </row>
    <row r="2" spans="1:13" x14ac:dyDescent="0.25">
      <c r="A2" s="16" t="s">
        <v>89</v>
      </c>
      <c r="B2" s="3">
        <v>63621.4</v>
      </c>
      <c r="C2" s="3">
        <v>9711.1</v>
      </c>
      <c r="D2" s="3">
        <v>15507.3</v>
      </c>
      <c r="E2" s="15">
        <f>(B2-63364.5)/63364.5</f>
        <v>4.0543206369497344E-3</v>
      </c>
      <c r="F2" s="15">
        <f>(C2-9176.6)/9176.6</f>
        <v>5.8245973454220515E-2</v>
      </c>
      <c r="G2" s="15">
        <f>('Objective 4'!D2-14588.1)/14588.1</f>
        <v>6.301026178871813E-2</v>
      </c>
    </row>
    <row r="3" spans="1:13" x14ac:dyDescent="0.25">
      <c r="A3" s="3" t="s">
        <v>90</v>
      </c>
      <c r="B3" s="3">
        <v>61593.599999999999</v>
      </c>
      <c r="C3" s="3">
        <v>9447.2999999999993</v>
      </c>
      <c r="D3" s="3">
        <v>14894.7</v>
      </c>
      <c r="E3" s="15">
        <f>(B3-B2)/B2</f>
        <v>-3.1872923261669864E-2</v>
      </c>
      <c r="F3" s="15">
        <f t="shared" ref="F3:G6" si="0">(C3-C2)/C2</f>
        <v>-2.7164790806396916E-2</v>
      </c>
      <c r="G3" s="15">
        <f t="shared" si="0"/>
        <v>-3.9503975547000351E-2</v>
      </c>
    </row>
    <row r="4" spans="1:13" x14ac:dyDescent="0.25">
      <c r="A4" s="3" t="s">
        <v>91</v>
      </c>
      <c r="B4" s="3">
        <v>72485.7</v>
      </c>
      <c r="C4" s="3">
        <v>11102.5</v>
      </c>
      <c r="D4" s="3">
        <v>16614.3</v>
      </c>
      <c r="E4" s="15">
        <f t="shared" ref="E4:E6" si="1">(B4-B3)/B3</f>
        <v>0.17683817799251869</v>
      </c>
      <c r="F4" s="15">
        <f t="shared" si="0"/>
        <v>0.17520349729552367</v>
      </c>
      <c r="G4" s="15">
        <f t="shared" si="0"/>
        <v>0.11545046224495951</v>
      </c>
    </row>
    <row r="5" spans="1:13" x14ac:dyDescent="0.25">
      <c r="A5" s="3" t="s">
        <v>92</v>
      </c>
      <c r="B5" s="3">
        <v>77071.100000000006</v>
      </c>
      <c r="C5" s="3">
        <v>11772.2</v>
      </c>
      <c r="D5" s="3">
        <v>17382.900000000001</v>
      </c>
      <c r="E5" s="15">
        <f t="shared" si="1"/>
        <v>6.3259373917890133E-2</v>
      </c>
      <c r="F5" s="15">
        <f t="shared" si="0"/>
        <v>6.0319747804548587E-2</v>
      </c>
      <c r="G5" s="15">
        <f t="shared" si="0"/>
        <v>4.6261353171665506E-2</v>
      </c>
    </row>
    <row r="6" spans="1:13" x14ac:dyDescent="0.25">
      <c r="A6" s="3" t="s">
        <v>93</v>
      </c>
      <c r="B6" s="3">
        <v>81614.100000000006</v>
      </c>
      <c r="C6" s="3">
        <v>12583.2</v>
      </c>
      <c r="D6" s="3">
        <v>18349.099999999999</v>
      </c>
      <c r="E6" s="15">
        <f t="shared" si="1"/>
        <v>5.8945571037652245E-2</v>
      </c>
      <c r="F6" s="15">
        <f t="shared" si="0"/>
        <v>6.8891116358879387E-2</v>
      </c>
      <c r="G6" s="15">
        <f t="shared" si="0"/>
        <v>5.5583360659038308E-2</v>
      </c>
    </row>
    <row r="8" spans="1:13" x14ac:dyDescent="0.25">
      <c r="A8" s="14" t="s">
        <v>94</v>
      </c>
      <c r="B8" s="14" t="s">
        <v>53</v>
      </c>
      <c r="C8" s="14" t="s">
        <v>99</v>
      </c>
      <c r="D8" s="14" t="s">
        <v>56</v>
      </c>
    </row>
    <row r="9" spans="1:13" x14ac:dyDescent="0.25">
      <c r="A9" s="16" t="s">
        <v>89</v>
      </c>
      <c r="B9" s="15">
        <v>4.1000000000000003E-3</v>
      </c>
      <c r="C9" s="15">
        <v>5.8200000000000002E-2</v>
      </c>
      <c r="D9" s="15">
        <v>6.3E-2</v>
      </c>
      <c r="L9">
        <v>1</v>
      </c>
      <c r="M9" t="s">
        <v>100</v>
      </c>
    </row>
    <row r="10" spans="1:13" x14ac:dyDescent="0.25">
      <c r="A10" s="3" t="s">
        <v>90</v>
      </c>
      <c r="B10" s="15">
        <v>-3.1899999999999998E-2</v>
      </c>
      <c r="C10" s="15">
        <v>-2.7199999999999998E-2</v>
      </c>
      <c r="D10" s="15">
        <v>-3.95E-2</v>
      </c>
      <c r="L10">
        <v>2</v>
      </c>
      <c r="M10" t="s">
        <v>101</v>
      </c>
    </row>
    <row r="11" spans="1:13" x14ac:dyDescent="0.25">
      <c r="A11" s="3" t="s">
        <v>91</v>
      </c>
      <c r="B11" s="15">
        <v>0.17680000000000001</v>
      </c>
      <c r="C11" s="15">
        <v>0.17519999999999999</v>
      </c>
      <c r="D11" s="15">
        <v>0.11550000000000001</v>
      </c>
      <c r="M11" t="s">
        <v>102</v>
      </c>
    </row>
    <row r="12" spans="1:13" x14ac:dyDescent="0.25">
      <c r="A12" s="3" t="s">
        <v>92</v>
      </c>
      <c r="B12" s="15">
        <v>6.3299999999999995E-2</v>
      </c>
      <c r="C12" s="15">
        <v>6.0299999999999999E-2</v>
      </c>
      <c r="D12" s="15">
        <v>4.6300000000000001E-2</v>
      </c>
      <c r="M12" t="s">
        <v>103</v>
      </c>
    </row>
    <row r="13" spans="1:13" x14ac:dyDescent="0.25">
      <c r="A13" s="3" t="s">
        <v>93</v>
      </c>
      <c r="B13" s="15">
        <v>5.8900000000000001E-2</v>
      </c>
      <c r="C13" s="15">
        <v>6.8900000000000003E-2</v>
      </c>
      <c r="D13" s="15">
        <v>5.5599999999999997E-2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7"/>
  <sheetViews>
    <sheetView workbookViewId="0"/>
  </sheetViews>
  <sheetFormatPr defaultRowHeight="15" x14ac:dyDescent="0.25"/>
  <sheetData>
    <row r="1" spans="1:37" x14ac:dyDescent="0.25">
      <c r="A1" s="14" t="s">
        <v>2</v>
      </c>
      <c r="B1" s="14" t="s">
        <v>1</v>
      </c>
      <c r="C1" s="14" t="s">
        <v>104</v>
      </c>
      <c r="F1" s="5" t="s">
        <v>0</v>
      </c>
      <c r="G1" s="5" t="s">
        <v>1</v>
      </c>
      <c r="H1" s="5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J1" s="14" t="s">
        <v>105</v>
      </c>
      <c r="AK1" s="14" t="s">
        <v>106</v>
      </c>
    </row>
    <row r="2" spans="1:37" x14ac:dyDescent="0.25">
      <c r="A2" s="3" t="s">
        <v>31</v>
      </c>
      <c r="B2" s="3">
        <v>2021</v>
      </c>
      <c r="C2" s="3">
        <v>66695.478654874634</v>
      </c>
      <c r="F2" s="6" t="s">
        <v>34</v>
      </c>
      <c r="G2" s="6">
        <v>2021</v>
      </c>
      <c r="H2" s="6" t="s">
        <v>31</v>
      </c>
      <c r="I2" s="3">
        <v>144.9</v>
      </c>
      <c r="J2" s="3">
        <v>190.1</v>
      </c>
      <c r="K2" s="3">
        <v>175.3</v>
      </c>
      <c r="L2" s="3">
        <v>154.1</v>
      </c>
      <c r="M2" s="3">
        <v>150.9</v>
      </c>
      <c r="N2" s="3">
        <v>149.6</v>
      </c>
      <c r="O2" s="3">
        <v>194.2</v>
      </c>
      <c r="P2" s="3">
        <v>160.4</v>
      </c>
      <c r="Q2" s="3">
        <v>114.6</v>
      </c>
      <c r="R2" s="3">
        <v>164</v>
      </c>
      <c r="S2" s="3">
        <v>151.80000000000001</v>
      </c>
      <c r="T2" s="3">
        <v>165.6</v>
      </c>
      <c r="U2" s="3">
        <v>161</v>
      </c>
      <c r="V2" s="3">
        <v>186.5</v>
      </c>
      <c r="W2" s="3">
        <v>155.5</v>
      </c>
      <c r="X2" s="3">
        <v>146.1</v>
      </c>
      <c r="Y2" s="3">
        <v>154.19999999999999</v>
      </c>
      <c r="Z2" s="3">
        <v>157.69999999999999</v>
      </c>
      <c r="AA2" s="3">
        <v>147.9</v>
      </c>
      <c r="AB2" s="3">
        <v>150</v>
      </c>
      <c r="AC2" s="3">
        <v>159.30000000000001</v>
      </c>
      <c r="AD2" s="3">
        <v>141.9</v>
      </c>
      <c r="AE2" s="3">
        <v>149.6</v>
      </c>
      <c r="AF2" s="3">
        <v>159.19999999999999</v>
      </c>
      <c r="AG2" s="3">
        <v>156.80000000000001</v>
      </c>
      <c r="AH2" s="3">
        <v>151.9</v>
      </c>
      <c r="AJ2" s="3" t="s">
        <v>3</v>
      </c>
      <c r="AK2" s="3">
        <v>0.44017675841832837</v>
      </c>
    </row>
    <row r="3" spans="1:37" x14ac:dyDescent="0.25">
      <c r="A3" s="3" t="s">
        <v>35</v>
      </c>
      <c r="B3" s="3">
        <v>2021</v>
      </c>
      <c r="C3" s="3">
        <v>60965.591062388856</v>
      </c>
      <c r="F3" s="6" t="s">
        <v>34</v>
      </c>
      <c r="G3" s="6">
        <v>2021</v>
      </c>
      <c r="H3" s="6" t="s">
        <v>35</v>
      </c>
      <c r="I3" s="3">
        <v>144.30000000000001</v>
      </c>
      <c r="J3" s="3">
        <v>186.5</v>
      </c>
      <c r="K3" s="3">
        <v>168.7</v>
      </c>
      <c r="L3" s="3">
        <v>154.69999999999999</v>
      </c>
      <c r="M3" s="3">
        <v>158.69999999999999</v>
      </c>
      <c r="N3" s="3">
        <v>150.69999999999999</v>
      </c>
      <c r="O3" s="3">
        <v>160</v>
      </c>
      <c r="P3" s="3">
        <v>158.80000000000001</v>
      </c>
      <c r="Q3" s="3">
        <v>112.8</v>
      </c>
      <c r="R3" s="3">
        <v>164.2</v>
      </c>
      <c r="S3" s="3">
        <v>155.5</v>
      </c>
      <c r="T3" s="3">
        <v>167.5</v>
      </c>
      <c r="U3" s="3">
        <v>156.9</v>
      </c>
      <c r="V3" s="3">
        <v>188.3</v>
      </c>
      <c r="W3" s="3">
        <v>157.19999999999999</v>
      </c>
      <c r="X3" s="3">
        <v>147.4</v>
      </c>
      <c r="Y3" s="3">
        <v>155.80000000000001</v>
      </c>
      <c r="Z3" s="3">
        <v>159.80000000000001</v>
      </c>
      <c r="AA3" s="3">
        <v>152.4</v>
      </c>
      <c r="AB3" s="3">
        <v>150.9</v>
      </c>
      <c r="AC3" s="3">
        <v>161.30000000000001</v>
      </c>
      <c r="AD3" s="3">
        <v>145.1</v>
      </c>
      <c r="AE3" s="3">
        <v>151.5</v>
      </c>
      <c r="AF3" s="3">
        <v>159.5</v>
      </c>
      <c r="AG3" s="3">
        <v>155.80000000000001</v>
      </c>
      <c r="AH3" s="3">
        <v>153.4</v>
      </c>
      <c r="AJ3" s="3" t="s">
        <v>4</v>
      </c>
      <c r="AK3" s="3">
        <v>0.7926863839513858</v>
      </c>
    </row>
    <row r="4" spans="1:37" x14ac:dyDescent="0.25">
      <c r="A4" s="3" t="s">
        <v>36</v>
      </c>
      <c r="B4" s="3">
        <v>2021</v>
      </c>
      <c r="C4" s="3">
        <v>75470.774130757563</v>
      </c>
      <c r="F4" s="6" t="s">
        <v>34</v>
      </c>
      <c r="G4" s="6">
        <v>2021</v>
      </c>
      <c r="H4" s="6" t="s">
        <v>36</v>
      </c>
      <c r="I4" s="3">
        <v>144.1</v>
      </c>
      <c r="J4" s="3">
        <v>192.2</v>
      </c>
      <c r="K4" s="3">
        <v>163.80000000000001</v>
      </c>
      <c r="L4" s="3">
        <v>154.9</v>
      </c>
      <c r="M4" s="3">
        <v>163.9</v>
      </c>
      <c r="N4" s="3">
        <v>153.69999999999999</v>
      </c>
      <c r="O4" s="3">
        <v>149.5</v>
      </c>
      <c r="P4" s="3">
        <v>159.80000000000001</v>
      </c>
      <c r="Q4" s="3">
        <v>112.6</v>
      </c>
      <c r="R4" s="3">
        <v>163.5</v>
      </c>
      <c r="S4" s="3">
        <v>156.5</v>
      </c>
      <c r="T4" s="3">
        <v>168.2</v>
      </c>
      <c r="U4" s="3">
        <v>156.69999999999999</v>
      </c>
      <c r="V4" s="3">
        <v>188.1</v>
      </c>
      <c r="W4" s="3">
        <v>157.80000000000001</v>
      </c>
      <c r="X4" s="3">
        <v>147.9</v>
      </c>
      <c r="Y4" s="3">
        <v>156.4</v>
      </c>
      <c r="Z4" s="3">
        <v>159.9</v>
      </c>
      <c r="AA4" s="3">
        <v>155.5</v>
      </c>
      <c r="AB4" s="3">
        <v>151.19999999999999</v>
      </c>
      <c r="AC4" s="3">
        <v>161.69999999999999</v>
      </c>
      <c r="AD4" s="3">
        <v>146.19999999999999</v>
      </c>
      <c r="AE4" s="3">
        <v>152.6</v>
      </c>
      <c r="AF4" s="3">
        <v>160.19999999999999</v>
      </c>
      <c r="AG4" s="3">
        <v>153.80000000000001</v>
      </c>
      <c r="AH4" s="3">
        <v>153.80000000000001</v>
      </c>
      <c r="AJ4" s="3" t="s">
        <v>5</v>
      </c>
      <c r="AK4" s="3">
        <v>-8.3230117728398945E-2</v>
      </c>
    </row>
    <row r="5" spans="1:37" x14ac:dyDescent="0.25">
      <c r="A5" s="3" t="s">
        <v>37</v>
      </c>
      <c r="B5" s="3">
        <v>2021</v>
      </c>
      <c r="C5" s="3">
        <v>74207.645156289771</v>
      </c>
      <c r="F5" s="6" t="s">
        <v>34</v>
      </c>
      <c r="G5" s="6">
        <v>2021</v>
      </c>
      <c r="H5" s="6" t="s">
        <v>37</v>
      </c>
      <c r="I5" s="3">
        <v>144.30000000000001</v>
      </c>
      <c r="J5" s="3">
        <v>198</v>
      </c>
      <c r="K5" s="3">
        <v>164.6</v>
      </c>
      <c r="L5" s="3">
        <v>155.4</v>
      </c>
      <c r="M5" s="3">
        <v>170.1</v>
      </c>
      <c r="N5" s="3">
        <v>164.4</v>
      </c>
      <c r="O5" s="3">
        <v>144.1</v>
      </c>
      <c r="P5" s="3">
        <v>161.69999999999999</v>
      </c>
      <c r="Q5" s="3">
        <v>113.1</v>
      </c>
      <c r="R5" s="3">
        <v>163.9</v>
      </c>
      <c r="S5" s="3">
        <v>157.6</v>
      </c>
      <c r="T5" s="3">
        <v>168.9</v>
      </c>
      <c r="U5" s="3">
        <v>158</v>
      </c>
      <c r="V5" s="3">
        <v>188.8</v>
      </c>
      <c r="W5" s="3">
        <v>158.80000000000001</v>
      </c>
      <c r="X5" s="3">
        <v>148.5</v>
      </c>
      <c r="Y5" s="3">
        <v>157.30000000000001</v>
      </c>
      <c r="Z5" s="3">
        <v>161.4</v>
      </c>
      <c r="AA5" s="3">
        <v>155.6</v>
      </c>
      <c r="AB5" s="3">
        <v>151.80000000000001</v>
      </c>
      <c r="AC5" s="3">
        <v>162.30000000000001</v>
      </c>
      <c r="AD5" s="3">
        <v>146.6</v>
      </c>
      <c r="AE5" s="3">
        <v>153.19999999999999</v>
      </c>
      <c r="AF5" s="3">
        <v>160.30000000000001</v>
      </c>
      <c r="AG5" s="3">
        <v>155.4</v>
      </c>
      <c r="AH5" s="3">
        <v>154.4</v>
      </c>
      <c r="AJ5" s="3" t="s">
        <v>6</v>
      </c>
      <c r="AK5" s="3">
        <v>0.52801215784440125</v>
      </c>
    </row>
    <row r="6" spans="1:37" x14ac:dyDescent="0.25">
      <c r="A6" s="3" t="s">
        <v>38</v>
      </c>
      <c r="B6" s="3">
        <v>2021</v>
      </c>
      <c r="C6" s="3">
        <v>70046.397374263441</v>
      </c>
      <c r="F6" s="6" t="s">
        <v>34</v>
      </c>
      <c r="G6" s="6">
        <v>2021</v>
      </c>
      <c r="H6" s="6" t="s">
        <v>38</v>
      </c>
      <c r="I6" s="3">
        <v>146.30000000000001</v>
      </c>
      <c r="J6" s="3">
        <v>200.5</v>
      </c>
      <c r="K6" s="3">
        <v>170.3</v>
      </c>
      <c r="L6" s="3">
        <v>156.1</v>
      </c>
      <c r="M6" s="3">
        <v>178.7</v>
      </c>
      <c r="N6" s="3">
        <v>167.1</v>
      </c>
      <c r="O6" s="3">
        <v>147.9</v>
      </c>
      <c r="P6" s="3">
        <v>165.4</v>
      </c>
      <c r="Q6" s="3">
        <v>114.8</v>
      </c>
      <c r="R6" s="3">
        <v>168.2</v>
      </c>
      <c r="S6" s="3">
        <v>159.30000000000001</v>
      </c>
      <c r="T6" s="3">
        <v>170.4</v>
      </c>
      <c r="U6" s="3">
        <v>160.69999999999999</v>
      </c>
      <c r="V6" s="3">
        <v>191.9</v>
      </c>
      <c r="W6" s="3">
        <v>161.80000000000001</v>
      </c>
      <c r="X6" s="3">
        <v>152.1</v>
      </c>
      <c r="Y6" s="3">
        <v>160.4</v>
      </c>
      <c r="Z6" s="3">
        <v>161.6</v>
      </c>
      <c r="AA6" s="3">
        <v>159.4</v>
      </c>
      <c r="AB6" s="3">
        <v>154.69999999999999</v>
      </c>
      <c r="AC6" s="3">
        <v>165.8</v>
      </c>
      <c r="AD6" s="3">
        <v>148.9</v>
      </c>
      <c r="AE6" s="3">
        <v>155.80000000000001</v>
      </c>
      <c r="AF6" s="3">
        <v>161.19999999999999</v>
      </c>
      <c r="AG6" s="3">
        <v>158.6</v>
      </c>
      <c r="AH6" s="3">
        <v>156.80000000000001</v>
      </c>
      <c r="AJ6" s="3" t="s">
        <v>7</v>
      </c>
      <c r="AK6" s="3">
        <v>0.75137562864761787</v>
      </c>
    </row>
    <row r="7" spans="1:37" x14ac:dyDescent="0.25">
      <c r="A7" s="3" t="s">
        <v>39</v>
      </c>
      <c r="B7" s="3">
        <v>2021</v>
      </c>
      <c r="C7" s="3">
        <v>71679.348913787879</v>
      </c>
      <c r="F7" s="6" t="s">
        <v>34</v>
      </c>
      <c r="G7" s="6">
        <v>2021</v>
      </c>
      <c r="H7" s="6" t="s">
        <v>39</v>
      </c>
      <c r="I7" s="3">
        <v>146.69999999999999</v>
      </c>
      <c r="J7" s="3">
        <v>202</v>
      </c>
      <c r="K7" s="3">
        <v>180.7</v>
      </c>
      <c r="L7" s="3">
        <v>156.19999999999999</v>
      </c>
      <c r="M7" s="3">
        <v>183.7</v>
      </c>
      <c r="N7" s="3">
        <v>164.6</v>
      </c>
      <c r="O7" s="3">
        <v>155.4</v>
      </c>
      <c r="P7" s="3">
        <v>166</v>
      </c>
      <c r="Q7" s="3">
        <v>115.1</v>
      </c>
      <c r="R7" s="3">
        <v>168.5</v>
      </c>
      <c r="S7" s="3">
        <v>160</v>
      </c>
      <c r="T7" s="3">
        <v>172.4</v>
      </c>
      <c r="U7" s="3">
        <v>162.6</v>
      </c>
      <c r="V7" s="3">
        <v>190.8</v>
      </c>
      <c r="W7" s="3">
        <v>162.19999999999999</v>
      </c>
      <c r="X7" s="3">
        <v>151.80000000000001</v>
      </c>
      <c r="Y7" s="3">
        <v>160.69999999999999</v>
      </c>
      <c r="Z7" s="3">
        <v>160.5</v>
      </c>
      <c r="AA7" s="3">
        <v>159.80000000000001</v>
      </c>
      <c r="AB7" s="3">
        <v>154.80000000000001</v>
      </c>
      <c r="AC7" s="3">
        <v>166.3</v>
      </c>
      <c r="AD7" s="3">
        <v>150.69999999999999</v>
      </c>
      <c r="AE7" s="3">
        <v>154.9</v>
      </c>
      <c r="AF7" s="3">
        <v>161.69999999999999</v>
      </c>
      <c r="AG7" s="3">
        <v>158.80000000000001</v>
      </c>
      <c r="AH7" s="3">
        <v>157.6</v>
      </c>
      <c r="AJ7" s="3" t="s">
        <v>8</v>
      </c>
      <c r="AK7" s="3">
        <v>0.52580194973218175</v>
      </c>
    </row>
    <row r="8" spans="1:37" x14ac:dyDescent="0.25">
      <c r="A8" s="3" t="s">
        <v>40</v>
      </c>
      <c r="B8" s="3">
        <v>2021</v>
      </c>
      <c r="C8" s="3">
        <v>72860.439470110607</v>
      </c>
      <c r="F8" s="6" t="s">
        <v>34</v>
      </c>
      <c r="G8" s="6">
        <v>2021</v>
      </c>
      <c r="H8" s="6" t="s">
        <v>40</v>
      </c>
      <c r="I8" s="3">
        <v>146.4</v>
      </c>
      <c r="J8" s="3">
        <v>206.8</v>
      </c>
      <c r="K8" s="3">
        <v>182.2</v>
      </c>
      <c r="L8" s="3">
        <v>157.5</v>
      </c>
      <c r="M8" s="3">
        <v>182.1</v>
      </c>
      <c r="N8" s="3">
        <v>163.9</v>
      </c>
      <c r="O8" s="3">
        <v>164.2</v>
      </c>
      <c r="P8" s="3">
        <v>164</v>
      </c>
      <c r="Q8" s="3">
        <v>114.5</v>
      </c>
      <c r="R8" s="3">
        <v>168.3</v>
      </c>
      <c r="S8" s="3">
        <v>160.9</v>
      </c>
      <c r="T8" s="3">
        <v>172.2</v>
      </c>
      <c r="U8" s="3">
        <v>164</v>
      </c>
      <c r="V8" s="3">
        <v>191.2</v>
      </c>
      <c r="W8" s="3">
        <v>162.80000000000001</v>
      </c>
      <c r="X8" s="3">
        <v>153.1</v>
      </c>
      <c r="Y8" s="3">
        <v>161.4</v>
      </c>
      <c r="Z8" s="3">
        <v>161.5</v>
      </c>
      <c r="AA8" s="3">
        <v>160.69999999999999</v>
      </c>
      <c r="AB8" s="3">
        <v>155.80000000000001</v>
      </c>
      <c r="AC8" s="3">
        <v>167</v>
      </c>
      <c r="AD8" s="3">
        <v>153.1</v>
      </c>
      <c r="AE8" s="3">
        <v>155.30000000000001</v>
      </c>
      <c r="AF8" s="3">
        <v>163.19999999999999</v>
      </c>
      <c r="AG8" s="3">
        <v>160.1</v>
      </c>
      <c r="AH8" s="3">
        <v>159</v>
      </c>
      <c r="AJ8" s="3" t="s">
        <v>9</v>
      </c>
      <c r="AK8" s="3">
        <v>0.32851585542562423</v>
      </c>
    </row>
    <row r="9" spans="1:37" x14ac:dyDescent="0.25">
      <c r="A9" s="3" t="s">
        <v>41</v>
      </c>
      <c r="B9" s="3">
        <v>2021</v>
      </c>
      <c r="C9" s="3">
        <v>80983.015512993996</v>
      </c>
      <c r="F9" s="6" t="s">
        <v>34</v>
      </c>
      <c r="G9" s="6">
        <v>2021</v>
      </c>
      <c r="H9" s="6" t="s">
        <v>41</v>
      </c>
      <c r="I9" s="3">
        <v>146.6</v>
      </c>
      <c r="J9" s="3">
        <v>204</v>
      </c>
      <c r="K9" s="3">
        <v>172.8</v>
      </c>
      <c r="L9" s="3">
        <v>158.4</v>
      </c>
      <c r="M9" s="3">
        <v>188</v>
      </c>
      <c r="N9" s="3">
        <v>156.80000000000001</v>
      </c>
      <c r="O9" s="3">
        <v>162.19999999999999</v>
      </c>
      <c r="P9" s="3">
        <v>164.1</v>
      </c>
      <c r="Q9" s="3">
        <v>119.7</v>
      </c>
      <c r="R9" s="3">
        <v>168.8</v>
      </c>
      <c r="S9" s="3">
        <v>162.69999999999999</v>
      </c>
      <c r="T9" s="3">
        <v>173.9</v>
      </c>
      <c r="U9" s="3">
        <v>164</v>
      </c>
      <c r="V9" s="3">
        <v>192.1</v>
      </c>
      <c r="W9" s="3">
        <v>164.5</v>
      </c>
      <c r="X9" s="3">
        <v>155.30000000000001</v>
      </c>
      <c r="Y9" s="3">
        <v>163.19999999999999</v>
      </c>
      <c r="Z9" s="3">
        <v>162.1</v>
      </c>
      <c r="AA9" s="3">
        <v>162.6</v>
      </c>
      <c r="AB9" s="3">
        <v>157.5</v>
      </c>
      <c r="AC9" s="3">
        <v>168.4</v>
      </c>
      <c r="AD9" s="3">
        <v>154</v>
      </c>
      <c r="AE9" s="3">
        <v>157.6</v>
      </c>
      <c r="AF9" s="3">
        <v>163.80000000000001</v>
      </c>
      <c r="AG9" s="3">
        <v>160</v>
      </c>
      <c r="AH9" s="3">
        <v>160</v>
      </c>
      <c r="AJ9" s="3" t="s">
        <v>10</v>
      </c>
      <c r="AK9" s="3">
        <v>0.32272831877671132</v>
      </c>
    </row>
    <row r="10" spans="1:37" x14ac:dyDescent="0.25">
      <c r="A10" s="3" t="s">
        <v>42</v>
      </c>
      <c r="B10" s="3">
        <v>2021</v>
      </c>
      <c r="C10" s="3">
        <v>83035.173906576631</v>
      </c>
      <c r="F10" s="6" t="s">
        <v>34</v>
      </c>
      <c r="G10" s="6">
        <v>2021</v>
      </c>
      <c r="H10" s="6" t="s">
        <v>42</v>
      </c>
      <c r="I10" s="3">
        <v>146.6</v>
      </c>
      <c r="J10" s="3">
        <v>204</v>
      </c>
      <c r="K10" s="3">
        <v>172.8</v>
      </c>
      <c r="L10" s="3">
        <v>158.4</v>
      </c>
      <c r="M10" s="3">
        <v>188</v>
      </c>
      <c r="N10" s="3">
        <v>156.69999999999999</v>
      </c>
      <c r="O10" s="3">
        <v>162.30000000000001</v>
      </c>
      <c r="P10" s="3">
        <v>164.1</v>
      </c>
      <c r="Q10" s="3">
        <v>119.7</v>
      </c>
      <c r="R10" s="3">
        <v>168.8</v>
      </c>
      <c r="S10" s="3">
        <v>162.69999999999999</v>
      </c>
      <c r="T10" s="3">
        <v>173.9</v>
      </c>
      <c r="U10" s="3">
        <v>164</v>
      </c>
      <c r="V10" s="3">
        <v>192.1</v>
      </c>
      <c r="W10" s="3">
        <v>164.6</v>
      </c>
      <c r="X10" s="3">
        <v>155.30000000000001</v>
      </c>
      <c r="Y10" s="3">
        <v>163.30000000000001</v>
      </c>
      <c r="Z10" s="3">
        <v>162.1</v>
      </c>
      <c r="AA10" s="3">
        <v>162.6</v>
      </c>
      <c r="AB10" s="3">
        <v>157.5</v>
      </c>
      <c r="AC10" s="3">
        <v>168.4</v>
      </c>
      <c r="AD10" s="3">
        <v>154</v>
      </c>
      <c r="AE10" s="3">
        <v>157.69999999999999</v>
      </c>
      <c r="AF10" s="3">
        <v>163.69999999999999</v>
      </c>
      <c r="AG10" s="3">
        <v>160</v>
      </c>
      <c r="AH10" s="3">
        <v>160</v>
      </c>
      <c r="AJ10" s="3" t="s">
        <v>11</v>
      </c>
      <c r="AK10" s="3">
        <v>0.60898859301652353</v>
      </c>
    </row>
    <row r="11" spans="1:37" x14ac:dyDescent="0.25">
      <c r="A11" s="3" t="s">
        <v>43</v>
      </c>
      <c r="B11" s="3">
        <v>2021</v>
      </c>
      <c r="C11" s="3">
        <v>91471.513995553876</v>
      </c>
      <c r="F11" s="6" t="s">
        <v>34</v>
      </c>
      <c r="G11" s="6">
        <v>2021</v>
      </c>
      <c r="H11" s="6" t="s">
        <v>43</v>
      </c>
      <c r="I11" s="3">
        <v>147.4</v>
      </c>
      <c r="J11" s="3">
        <v>204.6</v>
      </c>
      <c r="K11" s="3">
        <v>171.2</v>
      </c>
      <c r="L11" s="3">
        <v>158.69999999999999</v>
      </c>
      <c r="M11" s="3">
        <v>190.6</v>
      </c>
      <c r="N11" s="3">
        <v>155.69999999999999</v>
      </c>
      <c r="O11" s="3">
        <v>185.3</v>
      </c>
      <c r="P11" s="3">
        <v>165.2</v>
      </c>
      <c r="Q11" s="3">
        <v>121.9</v>
      </c>
      <c r="R11" s="3">
        <v>169.3</v>
      </c>
      <c r="S11" s="3">
        <v>163.19999999999999</v>
      </c>
      <c r="T11" s="3">
        <v>174.7</v>
      </c>
      <c r="U11" s="3">
        <v>167.7</v>
      </c>
      <c r="V11" s="3">
        <v>192.7</v>
      </c>
      <c r="W11" s="3">
        <v>165.7</v>
      </c>
      <c r="X11" s="3">
        <v>156.30000000000001</v>
      </c>
      <c r="Y11" s="3">
        <v>164.3</v>
      </c>
      <c r="Z11" s="3">
        <v>163.6</v>
      </c>
      <c r="AA11" s="3">
        <v>164.2</v>
      </c>
      <c r="AB11" s="3">
        <v>158.4</v>
      </c>
      <c r="AC11" s="3">
        <v>169.1</v>
      </c>
      <c r="AD11" s="3">
        <v>155.69999999999999</v>
      </c>
      <c r="AE11" s="3">
        <v>158.6</v>
      </c>
      <c r="AF11" s="3">
        <v>163.9</v>
      </c>
      <c r="AG11" s="3">
        <v>160.80000000000001</v>
      </c>
      <c r="AH11" s="3">
        <v>161</v>
      </c>
      <c r="AJ11" s="3" t="s">
        <v>12</v>
      </c>
      <c r="AK11" s="3">
        <v>0.51253296913706503</v>
      </c>
    </row>
    <row r="12" spans="1:37" x14ac:dyDescent="0.25">
      <c r="A12" s="3" t="s">
        <v>45</v>
      </c>
      <c r="B12" s="3">
        <v>2021</v>
      </c>
      <c r="C12" s="3">
        <v>95105.451863192153</v>
      </c>
      <c r="F12" s="6" t="s">
        <v>34</v>
      </c>
      <c r="G12" s="6">
        <v>2021</v>
      </c>
      <c r="H12" s="6" t="s">
        <v>45</v>
      </c>
      <c r="I12" s="3">
        <v>148.19999999999999</v>
      </c>
      <c r="J12" s="3">
        <v>201.6</v>
      </c>
      <c r="K12" s="3">
        <v>173</v>
      </c>
      <c r="L12" s="3">
        <v>159.30000000000001</v>
      </c>
      <c r="M12" s="3">
        <v>190.1</v>
      </c>
      <c r="N12" s="3">
        <v>156.5</v>
      </c>
      <c r="O12" s="3">
        <v>199.2</v>
      </c>
      <c r="P12" s="3">
        <v>165.3</v>
      </c>
      <c r="Q12" s="3">
        <v>122.4</v>
      </c>
      <c r="R12" s="3">
        <v>169.6</v>
      </c>
      <c r="S12" s="3">
        <v>163.69999999999999</v>
      </c>
      <c r="T12" s="3">
        <v>175.5</v>
      </c>
      <c r="U12" s="3">
        <v>169.7</v>
      </c>
      <c r="V12" s="3">
        <v>192.9</v>
      </c>
      <c r="W12" s="3">
        <v>167.2</v>
      </c>
      <c r="X12" s="3">
        <v>157.4</v>
      </c>
      <c r="Y12" s="3">
        <v>165.8</v>
      </c>
      <c r="Z12" s="3">
        <v>164.2</v>
      </c>
      <c r="AA12" s="3">
        <v>163.9</v>
      </c>
      <c r="AB12" s="3">
        <v>159.30000000000001</v>
      </c>
      <c r="AC12" s="3">
        <v>169.9</v>
      </c>
      <c r="AD12" s="3">
        <v>154.80000000000001</v>
      </c>
      <c r="AE12" s="3">
        <v>159.80000000000001</v>
      </c>
      <c r="AF12" s="3">
        <v>164.3</v>
      </c>
      <c r="AG12" s="3">
        <v>162.19999999999999</v>
      </c>
      <c r="AH12" s="3">
        <v>161.4</v>
      </c>
      <c r="AJ12" s="3" t="s">
        <v>13</v>
      </c>
      <c r="AK12" s="3">
        <v>0.67587166556768097</v>
      </c>
    </row>
    <row r="13" spans="1:37" x14ac:dyDescent="0.25">
      <c r="A13" s="3" t="s">
        <v>46</v>
      </c>
      <c r="B13" s="3">
        <v>2021</v>
      </c>
      <c r="C13" s="3">
        <v>100380.52800837092</v>
      </c>
      <c r="F13" s="6" t="s">
        <v>34</v>
      </c>
      <c r="G13" s="6">
        <v>2021</v>
      </c>
      <c r="H13" s="6" t="s">
        <v>46</v>
      </c>
      <c r="I13" s="3">
        <v>148.69999999999999</v>
      </c>
      <c r="J13" s="3">
        <v>198.8</v>
      </c>
      <c r="K13" s="3">
        <v>177.9</v>
      </c>
      <c r="L13" s="3">
        <v>159.9</v>
      </c>
      <c r="M13" s="3">
        <v>187.6</v>
      </c>
      <c r="N13" s="3">
        <v>154.9</v>
      </c>
      <c r="O13" s="3">
        <v>188.3</v>
      </c>
      <c r="P13" s="3">
        <v>164.4</v>
      </c>
      <c r="Q13" s="3">
        <v>121</v>
      </c>
      <c r="R13" s="3">
        <v>170.5</v>
      </c>
      <c r="S13" s="3">
        <v>164.2</v>
      </c>
      <c r="T13" s="3">
        <v>176.5</v>
      </c>
      <c r="U13" s="3">
        <v>168.2</v>
      </c>
      <c r="V13" s="3">
        <v>192.4</v>
      </c>
      <c r="W13" s="3">
        <v>168.5</v>
      </c>
      <c r="X13" s="3">
        <v>158.69999999999999</v>
      </c>
      <c r="Y13" s="3">
        <v>167</v>
      </c>
      <c r="Z13" s="3">
        <v>163.4</v>
      </c>
      <c r="AA13" s="3">
        <v>164.1</v>
      </c>
      <c r="AB13" s="3">
        <v>160.19999999999999</v>
      </c>
      <c r="AC13" s="3">
        <v>170.6</v>
      </c>
      <c r="AD13" s="3">
        <v>155.69999999999999</v>
      </c>
      <c r="AE13" s="3">
        <v>160.6</v>
      </c>
      <c r="AF13" s="3">
        <v>164.4</v>
      </c>
      <c r="AG13" s="3">
        <v>162.6</v>
      </c>
      <c r="AH13" s="3">
        <v>162</v>
      </c>
      <c r="AJ13" s="3" t="s">
        <v>14</v>
      </c>
      <c r="AK13" s="3">
        <v>0.63554887759632284</v>
      </c>
    </row>
    <row r="14" spans="1:37" x14ac:dyDescent="0.25">
      <c r="A14" s="3" t="s">
        <v>31</v>
      </c>
      <c r="B14" s="3">
        <v>2022</v>
      </c>
      <c r="C14" s="3">
        <v>101828.28887769801</v>
      </c>
      <c r="F14" s="6" t="s">
        <v>34</v>
      </c>
      <c r="G14" s="6">
        <v>2022</v>
      </c>
      <c r="H14" s="6" t="s">
        <v>31</v>
      </c>
      <c r="I14" s="3">
        <v>149.5</v>
      </c>
      <c r="J14" s="3">
        <v>198.7</v>
      </c>
      <c r="K14" s="3">
        <v>178.8</v>
      </c>
      <c r="L14" s="3">
        <v>160.5</v>
      </c>
      <c r="M14" s="3">
        <v>184.7</v>
      </c>
      <c r="N14" s="3">
        <v>153.69999999999999</v>
      </c>
      <c r="O14" s="3">
        <v>174.3</v>
      </c>
      <c r="P14" s="3">
        <v>163.9</v>
      </c>
      <c r="Q14" s="3">
        <v>120</v>
      </c>
      <c r="R14" s="3">
        <v>172.1</v>
      </c>
      <c r="S14" s="3">
        <v>164.3</v>
      </c>
      <c r="T14" s="3">
        <v>177.3</v>
      </c>
      <c r="U14" s="3">
        <v>166.4</v>
      </c>
      <c r="V14" s="3">
        <v>192.2</v>
      </c>
      <c r="W14" s="3">
        <v>169.9</v>
      </c>
      <c r="X14" s="3">
        <v>160.69999999999999</v>
      </c>
      <c r="Y14" s="3">
        <v>168.5</v>
      </c>
      <c r="Z14" s="3">
        <v>164.5</v>
      </c>
      <c r="AA14" s="3">
        <v>164.2</v>
      </c>
      <c r="AB14" s="3">
        <v>161.1</v>
      </c>
      <c r="AC14" s="3">
        <v>171.4</v>
      </c>
      <c r="AD14" s="3">
        <v>156.5</v>
      </c>
      <c r="AE14" s="3">
        <v>161.19999999999999</v>
      </c>
      <c r="AF14" s="3">
        <v>164.7</v>
      </c>
      <c r="AG14" s="3">
        <v>163</v>
      </c>
      <c r="AH14" s="3">
        <v>162.69999999999999</v>
      </c>
      <c r="AJ14" s="3" t="s">
        <v>15</v>
      </c>
      <c r="AK14" s="3">
        <v>0.70985767478792183</v>
      </c>
    </row>
    <row r="15" spans="1:37" x14ac:dyDescent="0.25">
      <c r="A15" s="3" t="s">
        <v>35</v>
      </c>
      <c r="B15" s="3">
        <v>2022</v>
      </c>
      <c r="C15" s="3">
        <v>102317.68803371425</v>
      </c>
      <c r="F15" s="6" t="s">
        <v>34</v>
      </c>
      <c r="G15" s="6">
        <v>2022</v>
      </c>
      <c r="H15" s="6" t="s">
        <v>35</v>
      </c>
      <c r="I15" s="3">
        <v>150</v>
      </c>
      <c r="J15" s="3">
        <v>200.6</v>
      </c>
      <c r="K15" s="3">
        <v>175.8</v>
      </c>
      <c r="L15" s="3">
        <v>160.69999999999999</v>
      </c>
      <c r="M15" s="3">
        <v>184.9</v>
      </c>
      <c r="N15" s="3">
        <v>153.69999999999999</v>
      </c>
      <c r="O15" s="3">
        <v>169.7</v>
      </c>
      <c r="P15" s="3">
        <v>163.69999999999999</v>
      </c>
      <c r="Q15" s="3">
        <v>118.9</v>
      </c>
      <c r="R15" s="3">
        <v>174.3</v>
      </c>
      <c r="S15" s="3">
        <v>164.7</v>
      </c>
      <c r="T15" s="3">
        <v>178</v>
      </c>
      <c r="U15" s="3">
        <v>166.2</v>
      </c>
      <c r="V15" s="3">
        <v>192.8</v>
      </c>
      <c r="W15" s="3">
        <v>170.8</v>
      </c>
      <c r="X15" s="3">
        <v>162.4</v>
      </c>
      <c r="Y15" s="3">
        <v>169.6</v>
      </c>
      <c r="Z15" s="3">
        <v>165.5</v>
      </c>
      <c r="AA15" s="3">
        <v>165.7</v>
      </c>
      <c r="AB15" s="3">
        <v>161.80000000000001</v>
      </c>
      <c r="AC15" s="3">
        <v>172.2</v>
      </c>
      <c r="AD15" s="3">
        <v>156.9</v>
      </c>
      <c r="AE15" s="3">
        <v>162.1</v>
      </c>
      <c r="AF15" s="3">
        <v>165.4</v>
      </c>
      <c r="AG15" s="3">
        <v>164.4</v>
      </c>
      <c r="AH15" s="3">
        <v>163.5</v>
      </c>
      <c r="AJ15" s="3" t="s">
        <v>16</v>
      </c>
      <c r="AK15" s="3">
        <v>0.53257184105749322</v>
      </c>
    </row>
    <row r="16" spans="1:37" x14ac:dyDescent="0.25">
      <c r="A16" s="3" t="s">
        <v>36</v>
      </c>
      <c r="B16" s="3">
        <v>2022</v>
      </c>
      <c r="C16" s="3">
        <v>134181.47733497745</v>
      </c>
      <c r="F16" s="6" t="s">
        <v>34</v>
      </c>
      <c r="G16" s="6">
        <v>2022</v>
      </c>
      <c r="H16" s="6" t="s">
        <v>36</v>
      </c>
      <c r="I16" s="3">
        <v>151.30000000000001</v>
      </c>
      <c r="J16" s="3">
        <v>210.7</v>
      </c>
      <c r="K16" s="3">
        <v>167.8</v>
      </c>
      <c r="L16" s="3">
        <v>162.19999999999999</v>
      </c>
      <c r="M16" s="3">
        <v>194.6</v>
      </c>
      <c r="N16" s="3">
        <v>157.6</v>
      </c>
      <c r="O16" s="3">
        <v>166.9</v>
      </c>
      <c r="P16" s="3">
        <v>163.9</v>
      </c>
      <c r="Q16" s="3">
        <v>118.8</v>
      </c>
      <c r="R16" s="3">
        <v>177.4</v>
      </c>
      <c r="S16" s="3">
        <v>165.3</v>
      </c>
      <c r="T16" s="3">
        <v>179.3</v>
      </c>
      <c r="U16" s="3">
        <v>168.4</v>
      </c>
      <c r="V16" s="3">
        <v>193.7</v>
      </c>
      <c r="W16" s="3">
        <v>172.1</v>
      </c>
      <c r="X16" s="3">
        <v>164.6</v>
      </c>
      <c r="Y16" s="3">
        <v>171.1</v>
      </c>
      <c r="Z16" s="3">
        <v>165.3</v>
      </c>
      <c r="AA16" s="3">
        <v>167.2</v>
      </c>
      <c r="AB16" s="3">
        <v>162.80000000000001</v>
      </c>
      <c r="AC16" s="3">
        <v>173</v>
      </c>
      <c r="AD16" s="3">
        <v>157.9</v>
      </c>
      <c r="AE16" s="3">
        <v>163.30000000000001</v>
      </c>
      <c r="AF16" s="3">
        <v>166</v>
      </c>
      <c r="AG16" s="3">
        <v>167.2</v>
      </c>
      <c r="AH16" s="3">
        <v>164.6</v>
      </c>
      <c r="AJ16" s="3" t="s">
        <v>17</v>
      </c>
      <c r="AK16" s="3">
        <v>0.66752105424672459</v>
      </c>
    </row>
    <row r="17" spans="1:37" x14ac:dyDescent="0.25">
      <c r="A17" s="3" t="s">
        <v>37</v>
      </c>
      <c r="B17" s="3">
        <v>2022</v>
      </c>
      <c r="C17" s="3">
        <v>151257.77739211501</v>
      </c>
      <c r="F17" s="6" t="s">
        <v>34</v>
      </c>
      <c r="G17" s="6">
        <v>2022</v>
      </c>
      <c r="H17" s="6" t="s">
        <v>37</v>
      </c>
      <c r="I17" s="3">
        <v>152.9</v>
      </c>
      <c r="J17" s="3">
        <v>211.8</v>
      </c>
      <c r="K17" s="3">
        <v>164.5</v>
      </c>
      <c r="L17" s="3">
        <v>163.9</v>
      </c>
      <c r="M17" s="3">
        <v>199.5</v>
      </c>
      <c r="N17" s="3">
        <v>172.6</v>
      </c>
      <c r="O17" s="3">
        <v>166.2</v>
      </c>
      <c r="P17" s="3">
        <v>164.7</v>
      </c>
      <c r="Q17" s="3">
        <v>119</v>
      </c>
      <c r="R17" s="3">
        <v>181.3</v>
      </c>
      <c r="S17" s="3">
        <v>166.2</v>
      </c>
      <c r="T17" s="3">
        <v>180.9</v>
      </c>
      <c r="U17" s="3">
        <v>170.8</v>
      </c>
      <c r="V17" s="3">
        <v>193.9</v>
      </c>
      <c r="W17" s="3">
        <v>173.9</v>
      </c>
      <c r="X17" s="3">
        <v>166.5</v>
      </c>
      <c r="Y17" s="3">
        <v>172.8</v>
      </c>
      <c r="Z17" s="3">
        <v>167</v>
      </c>
      <c r="AA17" s="3">
        <v>172.2</v>
      </c>
      <c r="AB17" s="3">
        <v>164</v>
      </c>
      <c r="AC17" s="3">
        <v>174</v>
      </c>
      <c r="AD17" s="3">
        <v>162.6</v>
      </c>
      <c r="AE17" s="3">
        <v>164.4</v>
      </c>
      <c r="AF17" s="3">
        <v>166.9</v>
      </c>
      <c r="AG17" s="3">
        <v>168.8</v>
      </c>
      <c r="AH17" s="3">
        <v>166.8</v>
      </c>
      <c r="AJ17" s="3" t="s">
        <v>18</v>
      </c>
      <c r="AK17" s="3">
        <v>0.69262835349824214</v>
      </c>
    </row>
    <row r="18" spans="1:37" x14ac:dyDescent="0.25">
      <c r="A18" s="3" t="s">
        <v>38</v>
      </c>
      <c r="B18" s="3">
        <v>2022</v>
      </c>
      <c r="C18" s="3">
        <v>137781.52369026651</v>
      </c>
      <c r="F18" s="6" t="s">
        <v>34</v>
      </c>
      <c r="G18" s="6">
        <v>2022</v>
      </c>
      <c r="H18" s="6" t="s">
        <v>38</v>
      </c>
      <c r="I18" s="3">
        <v>154.1</v>
      </c>
      <c r="J18" s="3">
        <v>217</v>
      </c>
      <c r="K18" s="3">
        <v>162.4</v>
      </c>
      <c r="L18" s="3">
        <v>164.9</v>
      </c>
      <c r="M18" s="3">
        <v>202.4</v>
      </c>
      <c r="N18" s="3">
        <v>171</v>
      </c>
      <c r="O18" s="3">
        <v>174.9</v>
      </c>
      <c r="P18" s="3">
        <v>164.7</v>
      </c>
      <c r="Q18" s="3">
        <v>119.7</v>
      </c>
      <c r="R18" s="3">
        <v>184.9</v>
      </c>
      <c r="S18" s="3">
        <v>167.1</v>
      </c>
      <c r="T18" s="3">
        <v>182.5</v>
      </c>
      <c r="U18" s="3">
        <v>173.3</v>
      </c>
      <c r="V18" s="3">
        <v>194.1</v>
      </c>
      <c r="W18" s="3">
        <v>175.6</v>
      </c>
      <c r="X18" s="3">
        <v>168.4</v>
      </c>
      <c r="Y18" s="3">
        <v>174.6</v>
      </c>
      <c r="Z18" s="3">
        <v>167.5</v>
      </c>
      <c r="AA18" s="3">
        <v>174.6</v>
      </c>
      <c r="AB18" s="3">
        <v>165.2</v>
      </c>
      <c r="AC18" s="3">
        <v>174.8</v>
      </c>
      <c r="AD18" s="3">
        <v>163</v>
      </c>
      <c r="AE18" s="3">
        <v>165.1</v>
      </c>
      <c r="AF18" s="3">
        <v>167.9</v>
      </c>
      <c r="AG18" s="3">
        <v>168.4</v>
      </c>
      <c r="AH18" s="3">
        <v>167.5</v>
      </c>
      <c r="AJ18" s="3" t="s">
        <v>19</v>
      </c>
      <c r="AK18" s="3">
        <v>0.67177408699418328</v>
      </c>
    </row>
    <row r="19" spans="1:37" x14ac:dyDescent="0.25">
      <c r="A19" s="3" t="s">
        <v>39</v>
      </c>
      <c r="B19" s="3">
        <v>2022</v>
      </c>
      <c r="C19" s="3">
        <v>140361.99809642398</v>
      </c>
      <c r="F19" s="6" t="s">
        <v>34</v>
      </c>
      <c r="G19" s="6">
        <v>2022</v>
      </c>
      <c r="H19" s="6" t="s">
        <v>39</v>
      </c>
      <c r="I19" s="3">
        <v>155</v>
      </c>
      <c r="J19" s="3">
        <v>219.4</v>
      </c>
      <c r="K19" s="3">
        <v>170.8</v>
      </c>
      <c r="L19" s="3">
        <v>165.8</v>
      </c>
      <c r="M19" s="3">
        <v>200.9</v>
      </c>
      <c r="N19" s="3">
        <v>169.7</v>
      </c>
      <c r="O19" s="3">
        <v>182.3</v>
      </c>
      <c r="P19" s="3">
        <v>164.3</v>
      </c>
      <c r="Q19" s="3">
        <v>119.9</v>
      </c>
      <c r="R19" s="3">
        <v>187.1</v>
      </c>
      <c r="S19" s="3">
        <v>167.9</v>
      </c>
      <c r="T19" s="3">
        <v>183.9</v>
      </c>
      <c r="U19" s="3">
        <v>174.9</v>
      </c>
      <c r="V19" s="3">
        <v>194.3</v>
      </c>
      <c r="W19" s="3">
        <v>177.1</v>
      </c>
      <c r="X19" s="3">
        <v>169.9</v>
      </c>
      <c r="Y19" s="3">
        <v>176</v>
      </c>
      <c r="Z19" s="3">
        <v>166.8</v>
      </c>
      <c r="AA19" s="3">
        <v>176</v>
      </c>
      <c r="AB19" s="3">
        <v>166.4</v>
      </c>
      <c r="AC19" s="3">
        <v>175.4</v>
      </c>
      <c r="AD19" s="3">
        <v>161.1</v>
      </c>
      <c r="AE19" s="3">
        <v>165.8</v>
      </c>
      <c r="AF19" s="3">
        <v>169</v>
      </c>
      <c r="AG19" s="3">
        <v>169.4</v>
      </c>
      <c r="AH19" s="3">
        <v>167.5</v>
      </c>
      <c r="AJ19" s="3" t="s">
        <v>20</v>
      </c>
      <c r="AK19" s="3">
        <v>0.58292169810517414</v>
      </c>
    </row>
    <row r="20" spans="1:37" x14ac:dyDescent="0.25">
      <c r="A20" s="3" t="s">
        <v>40</v>
      </c>
      <c r="B20" s="3">
        <v>2022</v>
      </c>
      <c r="C20" s="3">
        <v>148619.35499624049</v>
      </c>
      <c r="F20" s="6" t="s">
        <v>34</v>
      </c>
      <c r="G20" s="6">
        <v>2022</v>
      </c>
      <c r="H20" s="6" t="s">
        <v>40</v>
      </c>
      <c r="I20" s="3">
        <v>156.5</v>
      </c>
      <c r="J20" s="3">
        <v>213</v>
      </c>
      <c r="K20" s="3">
        <v>175.2</v>
      </c>
      <c r="L20" s="3">
        <v>166.6</v>
      </c>
      <c r="M20" s="3">
        <v>195.8</v>
      </c>
      <c r="N20" s="3">
        <v>174.2</v>
      </c>
      <c r="O20" s="3">
        <v>182.1</v>
      </c>
      <c r="P20" s="3">
        <v>164.3</v>
      </c>
      <c r="Q20" s="3">
        <v>120</v>
      </c>
      <c r="R20" s="3">
        <v>190</v>
      </c>
      <c r="S20" s="3">
        <v>168.4</v>
      </c>
      <c r="T20" s="3">
        <v>185.2</v>
      </c>
      <c r="U20" s="3">
        <v>175</v>
      </c>
      <c r="V20" s="3">
        <v>194.6</v>
      </c>
      <c r="W20" s="3">
        <v>178.3</v>
      </c>
      <c r="X20" s="3">
        <v>171.3</v>
      </c>
      <c r="Y20" s="3">
        <v>177.3</v>
      </c>
      <c r="Z20" s="3">
        <v>167.8</v>
      </c>
      <c r="AA20" s="3">
        <v>179.6</v>
      </c>
      <c r="AB20" s="3">
        <v>167.4</v>
      </c>
      <c r="AC20" s="3">
        <v>176.1</v>
      </c>
      <c r="AD20" s="3">
        <v>161.6</v>
      </c>
      <c r="AE20" s="3">
        <v>166.3</v>
      </c>
      <c r="AF20" s="3">
        <v>171.4</v>
      </c>
      <c r="AG20" s="3">
        <v>169.7</v>
      </c>
      <c r="AH20" s="3">
        <v>168.4</v>
      </c>
      <c r="AJ20" s="3" t="s">
        <v>21</v>
      </c>
      <c r="AK20" s="3">
        <v>0.7104715115858139</v>
      </c>
    </row>
    <row r="21" spans="1:37" x14ac:dyDescent="0.25">
      <c r="A21" s="3" t="s">
        <v>41</v>
      </c>
      <c r="B21" s="3">
        <v>2022</v>
      </c>
      <c r="C21" s="3">
        <v>120976.19320076992</v>
      </c>
      <c r="F21" s="6" t="s">
        <v>34</v>
      </c>
      <c r="G21" s="6">
        <v>2022</v>
      </c>
      <c r="H21" s="6" t="s">
        <v>41</v>
      </c>
      <c r="I21" s="3">
        <v>160.30000000000001</v>
      </c>
      <c r="J21" s="3">
        <v>206.5</v>
      </c>
      <c r="K21" s="3">
        <v>169.2</v>
      </c>
      <c r="L21" s="3">
        <v>168.1</v>
      </c>
      <c r="M21" s="3">
        <v>192.4</v>
      </c>
      <c r="N21" s="3">
        <v>172.9</v>
      </c>
      <c r="O21" s="3">
        <v>186.7</v>
      </c>
      <c r="P21" s="3">
        <v>167.2</v>
      </c>
      <c r="Q21" s="3">
        <v>120.9</v>
      </c>
      <c r="R21" s="3">
        <v>193.6</v>
      </c>
      <c r="S21" s="3">
        <v>168.8</v>
      </c>
      <c r="T21" s="3">
        <v>186.3</v>
      </c>
      <c r="U21" s="3">
        <v>176.3</v>
      </c>
      <c r="V21" s="3">
        <v>195</v>
      </c>
      <c r="W21" s="3">
        <v>179.5</v>
      </c>
      <c r="X21" s="3">
        <v>172.7</v>
      </c>
      <c r="Y21" s="3">
        <v>178.5</v>
      </c>
      <c r="Z21" s="3">
        <v>169</v>
      </c>
      <c r="AA21" s="3">
        <v>178.8</v>
      </c>
      <c r="AB21" s="3">
        <v>168.5</v>
      </c>
      <c r="AC21" s="3">
        <v>176.8</v>
      </c>
      <c r="AD21" s="3">
        <v>161.9</v>
      </c>
      <c r="AE21" s="3">
        <v>166.9</v>
      </c>
      <c r="AF21" s="3">
        <v>172.3</v>
      </c>
      <c r="AG21" s="3">
        <v>171.2</v>
      </c>
      <c r="AH21" s="3">
        <v>169.1</v>
      </c>
      <c r="AJ21" s="3" t="s">
        <v>22</v>
      </c>
      <c r="AK21" s="3">
        <v>0.65447675113762371</v>
      </c>
    </row>
    <row r="22" spans="1:37" x14ac:dyDescent="0.25">
      <c r="A22" s="3" t="s">
        <v>42</v>
      </c>
      <c r="B22" s="3">
        <v>2022</v>
      </c>
      <c r="C22" s="3">
        <v>110015.88104199871</v>
      </c>
      <c r="F22" s="6" t="s">
        <v>34</v>
      </c>
      <c r="G22" s="6">
        <v>2022</v>
      </c>
      <c r="H22" s="6" t="s">
        <v>42</v>
      </c>
      <c r="I22" s="3">
        <v>163.5</v>
      </c>
      <c r="J22" s="3">
        <v>209.2</v>
      </c>
      <c r="K22" s="3">
        <v>169.7</v>
      </c>
      <c r="L22" s="3">
        <v>169.7</v>
      </c>
      <c r="M22" s="3">
        <v>188.7</v>
      </c>
      <c r="N22" s="3">
        <v>165.7</v>
      </c>
      <c r="O22" s="3">
        <v>191.8</v>
      </c>
      <c r="P22" s="3">
        <v>169.1</v>
      </c>
      <c r="Q22" s="3">
        <v>121.6</v>
      </c>
      <c r="R22" s="3">
        <v>197.3</v>
      </c>
      <c r="S22" s="3">
        <v>169.4</v>
      </c>
      <c r="T22" s="3">
        <v>187.4</v>
      </c>
      <c r="U22" s="3">
        <v>177.8</v>
      </c>
      <c r="V22" s="3">
        <v>195.9</v>
      </c>
      <c r="W22" s="3">
        <v>180.9</v>
      </c>
      <c r="X22" s="3">
        <v>174.3</v>
      </c>
      <c r="Y22" s="3">
        <v>179.9</v>
      </c>
      <c r="Z22" s="3">
        <v>169.5</v>
      </c>
      <c r="AA22" s="3">
        <v>179.5</v>
      </c>
      <c r="AB22" s="3">
        <v>169.5</v>
      </c>
      <c r="AC22" s="3">
        <v>177.8</v>
      </c>
      <c r="AD22" s="3">
        <v>162.30000000000001</v>
      </c>
      <c r="AE22" s="3">
        <v>167.6</v>
      </c>
      <c r="AF22" s="3">
        <v>173.1</v>
      </c>
      <c r="AG22" s="3">
        <v>170.9</v>
      </c>
      <c r="AH22" s="3">
        <v>169.7</v>
      </c>
      <c r="AJ22" s="3" t="s">
        <v>23</v>
      </c>
      <c r="AK22" s="3">
        <v>0.61861423178649055</v>
      </c>
    </row>
    <row r="23" spans="1:37" x14ac:dyDescent="0.25">
      <c r="A23" s="3" t="s">
        <v>43</v>
      </c>
      <c r="B23" s="3">
        <v>2022</v>
      </c>
      <c r="C23" s="3">
        <v>116548.19734168371</v>
      </c>
      <c r="F23" s="6" t="s">
        <v>34</v>
      </c>
      <c r="G23" s="6">
        <v>2022</v>
      </c>
      <c r="H23" s="6" t="s">
        <v>43</v>
      </c>
      <c r="I23" s="3">
        <v>165.2</v>
      </c>
      <c r="J23" s="3">
        <v>210.9</v>
      </c>
      <c r="K23" s="3">
        <v>170.9</v>
      </c>
      <c r="L23" s="3">
        <v>170.9</v>
      </c>
      <c r="M23" s="3">
        <v>186.5</v>
      </c>
      <c r="N23" s="3">
        <v>163.80000000000001</v>
      </c>
      <c r="O23" s="3">
        <v>199.7</v>
      </c>
      <c r="P23" s="3">
        <v>169.8</v>
      </c>
      <c r="Q23" s="3">
        <v>121.9</v>
      </c>
      <c r="R23" s="3">
        <v>199.9</v>
      </c>
      <c r="S23" s="3">
        <v>169.9</v>
      </c>
      <c r="T23" s="3">
        <v>188.3</v>
      </c>
      <c r="U23" s="3">
        <v>179.6</v>
      </c>
      <c r="V23" s="3">
        <v>196.3</v>
      </c>
      <c r="W23" s="3">
        <v>181.9</v>
      </c>
      <c r="X23" s="3">
        <v>175.3</v>
      </c>
      <c r="Y23" s="3">
        <v>181</v>
      </c>
      <c r="Z23" s="3">
        <v>171.2</v>
      </c>
      <c r="AA23" s="3">
        <v>180.5</v>
      </c>
      <c r="AB23" s="3">
        <v>170.4</v>
      </c>
      <c r="AC23" s="3">
        <v>178.7</v>
      </c>
      <c r="AD23" s="3">
        <v>162.9</v>
      </c>
      <c r="AE23" s="3">
        <v>168.2</v>
      </c>
      <c r="AF23" s="3">
        <v>173.4</v>
      </c>
      <c r="AG23" s="3">
        <v>172.1</v>
      </c>
      <c r="AH23" s="3">
        <v>170.5</v>
      </c>
      <c r="AJ23" s="3" t="s">
        <v>24</v>
      </c>
      <c r="AK23" s="3">
        <v>0.77877919315666566</v>
      </c>
    </row>
    <row r="24" spans="1:37" x14ac:dyDescent="0.25">
      <c r="A24" s="3" t="s">
        <v>45</v>
      </c>
      <c r="B24" s="3">
        <v>2022</v>
      </c>
      <c r="C24" s="3">
        <v>118277.27620134089</v>
      </c>
      <c r="F24" s="6" t="s">
        <v>34</v>
      </c>
      <c r="G24" s="6">
        <v>2022</v>
      </c>
      <c r="H24" s="6" t="s">
        <v>45</v>
      </c>
      <c r="I24" s="3">
        <v>167.4</v>
      </c>
      <c r="J24" s="3">
        <v>209.4</v>
      </c>
      <c r="K24" s="3">
        <v>181.4</v>
      </c>
      <c r="L24" s="3">
        <v>172.3</v>
      </c>
      <c r="M24" s="3">
        <v>188.9</v>
      </c>
      <c r="N24" s="3">
        <v>160.69999999999999</v>
      </c>
      <c r="O24" s="3">
        <v>183.1</v>
      </c>
      <c r="P24" s="3">
        <v>170.5</v>
      </c>
      <c r="Q24" s="3">
        <v>122.1</v>
      </c>
      <c r="R24" s="3">
        <v>202.8</v>
      </c>
      <c r="S24" s="3">
        <v>170.4</v>
      </c>
      <c r="T24" s="3">
        <v>189.5</v>
      </c>
      <c r="U24" s="3">
        <v>178.3</v>
      </c>
      <c r="V24" s="3">
        <v>196.9</v>
      </c>
      <c r="W24" s="3">
        <v>183.1</v>
      </c>
      <c r="X24" s="3">
        <v>176.2</v>
      </c>
      <c r="Y24" s="3">
        <v>182.1</v>
      </c>
      <c r="Z24" s="3">
        <v>171.8</v>
      </c>
      <c r="AA24" s="3">
        <v>181.3</v>
      </c>
      <c r="AB24" s="3">
        <v>171.4</v>
      </c>
      <c r="AC24" s="3">
        <v>179.8</v>
      </c>
      <c r="AD24" s="3">
        <v>163</v>
      </c>
      <c r="AE24" s="3">
        <v>168.5</v>
      </c>
      <c r="AF24" s="3">
        <v>173.7</v>
      </c>
      <c r="AG24" s="3">
        <v>173.6</v>
      </c>
      <c r="AH24" s="3">
        <v>171.1</v>
      </c>
      <c r="AJ24" s="3" t="s">
        <v>25</v>
      </c>
      <c r="AK24" s="3">
        <v>0.724267270129197</v>
      </c>
    </row>
    <row r="25" spans="1:37" x14ac:dyDescent="0.25">
      <c r="A25" s="3" t="s">
        <v>46</v>
      </c>
      <c r="B25" s="3">
        <v>2022</v>
      </c>
      <c r="C25" s="3">
        <v>112095.477543425</v>
      </c>
      <c r="F25" s="6" t="s">
        <v>34</v>
      </c>
      <c r="G25" s="6">
        <v>2022</v>
      </c>
      <c r="H25" s="6" t="s">
        <v>46</v>
      </c>
      <c r="I25" s="3">
        <v>169.2</v>
      </c>
      <c r="J25" s="3">
        <v>209</v>
      </c>
      <c r="K25" s="3">
        <v>190.2</v>
      </c>
      <c r="L25" s="3">
        <v>173.6</v>
      </c>
      <c r="M25" s="3">
        <v>188.5</v>
      </c>
      <c r="N25" s="3">
        <v>158</v>
      </c>
      <c r="O25" s="3">
        <v>159.9</v>
      </c>
      <c r="P25" s="3">
        <v>170.8</v>
      </c>
      <c r="Q25" s="3">
        <v>121.8</v>
      </c>
      <c r="R25" s="3">
        <v>205.2</v>
      </c>
      <c r="S25" s="3">
        <v>171</v>
      </c>
      <c r="T25" s="3">
        <v>190.3</v>
      </c>
      <c r="U25" s="3">
        <v>175.9</v>
      </c>
      <c r="V25" s="3">
        <v>197.3</v>
      </c>
      <c r="W25" s="3">
        <v>184</v>
      </c>
      <c r="X25" s="3">
        <v>177</v>
      </c>
      <c r="Y25" s="3">
        <v>183</v>
      </c>
      <c r="Z25" s="3">
        <v>170.7</v>
      </c>
      <c r="AA25" s="3">
        <v>182</v>
      </c>
      <c r="AB25" s="3">
        <v>172.1</v>
      </c>
      <c r="AC25" s="3">
        <v>181.1</v>
      </c>
      <c r="AD25" s="3">
        <v>163.4</v>
      </c>
      <c r="AE25" s="3">
        <v>168.9</v>
      </c>
      <c r="AF25" s="3">
        <v>174.1</v>
      </c>
      <c r="AG25" s="3">
        <v>175.8</v>
      </c>
      <c r="AH25" s="3">
        <v>172</v>
      </c>
      <c r="AJ25" s="3" t="s">
        <v>26</v>
      </c>
      <c r="AK25" s="3">
        <v>0.59640199467194921</v>
      </c>
    </row>
    <row r="26" spans="1:37" x14ac:dyDescent="0.25">
      <c r="A26" s="3" t="s">
        <v>31</v>
      </c>
      <c r="B26" s="3">
        <v>2023</v>
      </c>
      <c r="C26" s="3">
        <v>108892.9652336391</v>
      </c>
      <c r="F26" s="6" t="s">
        <v>34</v>
      </c>
      <c r="G26" s="6">
        <v>2023</v>
      </c>
      <c r="H26" s="6" t="s">
        <v>31</v>
      </c>
      <c r="I26" s="3">
        <v>173.8</v>
      </c>
      <c r="J26" s="3">
        <v>210.7</v>
      </c>
      <c r="K26" s="3">
        <v>194.5</v>
      </c>
      <c r="L26" s="3">
        <v>174.6</v>
      </c>
      <c r="M26" s="3">
        <v>187.2</v>
      </c>
      <c r="N26" s="3">
        <v>158.30000000000001</v>
      </c>
      <c r="O26" s="3">
        <v>153.9</v>
      </c>
      <c r="P26" s="3">
        <v>170.9</v>
      </c>
      <c r="Q26" s="3">
        <v>121.1</v>
      </c>
      <c r="R26" s="3">
        <v>208.4</v>
      </c>
      <c r="S26" s="3">
        <v>171.4</v>
      </c>
      <c r="T26" s="3">
        <v>191.2</v>
      </c>
      <c r="U26" s="3">
        <v>176.7</v>
      </c>
      <c r="V26" s="3">
        <v>198.2</v>
      </c>
      <c r="W26" s="3">
        <v>184.9</v>
      </c>
      <c r="X26" s="3">
        <v>177.6</v>
      </c>
      <c r="Y26" s="3">
        <v>183.8</v>
      </c>
      <c r="Z26" s="3">
        <v>172.1</v>
      </c>
      <c r="AA26" s="3">
        <v>182</v>
      </c>
      <c r="AB26" s="3">
        <v>172.9</v>
      </c>
      <c r="AC26" s="3">
        <v>182.3</v>
      </c>
      <c r="AD26" s="3">
        <v>163.6</v>
      </c>
      <c r="AE26" s="3">
        <v>169.5</v>
      </c>
      <c r="AF26" s="3">
        <v>174.3</v>
      </c>
      <c r="AG26" s="3">
        <v>178.6</v>
      </c>
      <c r="AH26" s="3">
        <v>172.8</v>
      </c>
      <c r="AJ26" s="3" t="s">
        <v>27</v>
      </c>
      <c r="AK26" s="3">
        <v>0.55942828642482112</v>
      </c>
    </row>
    <row r="27" spans="1:37" x14ac:dyDescent="0.25">
      <c r="A27" s="3" t="s">
        <v>35</v>
      </c>
      <c r="B27" s="3">
        <v>2023</v>
      </c>
      <c r="C27" s="3">
        <v>103743.50619254357</v>
      </c>
      <c r="F27" s="6" t="s">
        <v>34</v>
      </c>
      <c r="G27" s="6">
        <v>2023</v>
      </c>
      <c r="H27" s="6" t="s">
        <v>35</v>
      </c>
      <c r="I27" s="3">
        <v>174.4</v>
      </c>
      <c r="J27" s="3">
        <v>207.7</v>
      </c>
      <c r="K27" s="3">
        <v>175.2</v>
      </c>
      <c r="L27" s="3">
        <v>177.3</v>
      </c>
      <c r="M27" s="3">
        <v>179.3</v>
      </c>
      <c r="N27" s="3">
        <v>169.5</v>
      </c>
      <c r="O27" s="3">
        <v>152.69999999999999</v>
      </c>
      <c r="P27" s="3">
        <v>171</v>
      </c>
      <c r="Q27" s="3">
        <v>120</v>
      </c>
      <c r="R27" s="3">
        <v>209.7</v>
      </c>
      <c r="S27" s="3">
        <v>172.3</v>
      </c>
      <c r="T27" s="3">
        <v>193</v>
      </c>
      <c r="U27" s="3">
        <v>177</v>
      </c>
      <c r="V27" s="3">
        <v>199.5</v>
      </c>
      <c r="W27" s="3">
        <v>186.2</v>
      </c>
      <c r="X27" s="3">
        <v>178.7</v>
      </c>
      <c r="Y27" s="3">
        <v>185.1</v>
      </c>
      <c r="Z27" s="3">
        <v>173.5</v>
      </c>
      <c r="AA27" s="3">
        <v>182.1</v>
      </c>
      <c r="AB27" s="3">
        <v>174.2</v>
      </c>
      <c r="AC27" s="3">
        <v>184.4</v>
      </c>
      <c r="AD27" s="3">
        <v>164.2</v>
      </c>
      <c r="AE27" s="3">
        <v>170.3</v>
      </c>
      <c r="AF27" s="3">
        <v>175</v>
      </c>
      <c r="AG27" s="3">
        <v>181</v>
      </c>
      <c r="AH27" s="3">
        <v>174.1</v>
      </c>
      <c r="AJ27" s="3" t="s">
        <v>28</v>
      </c>
      <c r="AK27" s="3">
        <v>0.6757403412646209</v>
      </c>
    </row>
    <row r="28" spans="1:37" x14ac:dyDescent="0.25">
      <c r="A28" s="3" t="s">
        <v>36</v>
      </c>
      <c r="B28" s="3">
        <v>2023</v>
      </c>
      <c r="C28" s="3">
        <v>107655.66151560735</v>
      </c>
      <c r="F28" s="6" t="s">
        <v>34</v>
      </c>
      <c r="G28" s="6">
        <v>2023</v>
      </c>
      <c r="H28" s="6" t="s">
        <v>36</v>
      </c>
      <c r="I28" s="3">
        <v>174.4</v>
      </c>
      <c r="J28" s="3">
        <v>207.7</v>
      </c>
      <c r="K28" s="3">
        <v>175.2</v>
      </c>
      <c r="L28" s="3">
        <v>177.3</v>
      </c>
      <c r="M28" s="3">
        <v>179.2</v>
      </c>
      <c r="N28" s="3">
        <v>169.5</v>
      </c>
      <c r="O28" s="3">
        <v>152.80000000000001</v>
      </c>
      <c r="P28" s="3">
        <v>171.1</v>
      </c>
      <c r="Q28" s="3">
        <v>120</v>
      </c>
      <c r="R28" s="3">
        <v>209.7</v>
      </c>
      <c r="S28" s="3">
        <v>172.3</v>
      </c>
      <c r="T28" s="3">
        <v>193</v>
      </c>
      <c r="U28" s="3">
        <v>177</v>
      </c>
      <c r="V28" s="3">
        <v>199.5</v>
      </c>
      <c r="W28" s="3">
        <v>186.1</v>
      </c>
      <c r="X28" s="3">
        <v>178.7</v>
      </c>
      <c r="Y28" s="3">
        <v>185.1</v>
      </c>
      <c r="Z28" s="3">
        <v>173.5</v>
      </c>
      <c r="AA28" s="3">
        <v>181.9</v>
      </c>
      <c r="AB28" s="3">
        <v>174.2</v>
      </c>
      <c r="AC28" s="3">
        <v>184.4</v>
      </c>
      <c r="AD28" s="3">
        <v>164.2</v>
      </c>
      <c r="AE28" s="3">
        <v>170.3</v>
      </c>
      <c r="AF28" s="3">
        <v>175</v>
      </c>
      <c r="AG28" s="3">
        <v>181</v>
      </c>
      <c r="AH28" s="3">
        <v>174.1</v>
      </c>
      <c r="AK28" s="20"/>
    </row>
    <row r="29" spans="1:37" x14ac:dyDescent="0.25">
      <c r="A29" s="3" t="s">
        <v>37</v>
      </c>
      <c r="B29" s="3">
        <v>2023</v>
      </c>
      <c r="C29" s="3">
        <v>101450.65404893839</v>
      </c>
      <c r="F29" s="6" t="s">
        <v>34</v>
      </c>
      <c r="G29" s="6">
        <v>2023</v>
      </c>
      <c r="H29" s="6" t="s">
        <v>37</v>
      </c>
      <c r="I29" s="3">
        <v>173.8</v>
      </c>
      <c r="J29" s="3">
        <v>209.3</v>
      </c>
      <c r="K29" s="3">
        <v>169.6</v>
      </c>
      <c r="L29" s="3">
        <v>178.4</v>
      </c>
      <c r="M29" s="3">
        <v>174.9</v>
      </c>
      <c r="N29" s="3">
        <v>176.3</v>
      </c>
      <c r="O29" s="3">
        <v>155.4</v>
      </c>
      <c r="P29" s="3">
        <v>173.4</v>
      </c>
      <c r="Q29" s="3">
        <v>121.3</v>
      </c>
      <c r="R29" s="3">
        <v>212.9</v>
      </c>
      <c r="S29" s="3">
        <v>172.9</v>
      </c>
      <c r="T29" s="3">
        <v>193.5</v>
      </c>
      <c r="U29" s="3">
        <v>177.9</v>
      </c>
      <c r="V29" s="3">
        <v>200.6</v>
      </c>
      <c r="W29" s="3">
        <v>186.9</v>
      </c>
      <c r="X29" s="3">
        <v>179.2</v>
      </c>
      <c r="Y29" s="3">
        <v>185.7</v>
      </c>
      <c r="Z29" s="3">
        <v>175.2</v>
      </c>
      <c r="AA29" s="3">
        <v>181.7</v>
      </c>
      <c r="AB29" s="3">
        <v>174.6</v>
      </c>
      <c r="AC29" s="3">
        <v>185</v>
      </c>
      <c r="AD29" s="3">
        <v>164.5</v>
      </c>
      <c r="AE29" s="3">
        <v>170.7</v>
      </c>
      <c r="AF29" s="3">
        <v>176.4</v>
      </c>
      <c r="AG29" s="3">
        <v>184</v>
      </c>
      <c r="AH29" s="3">
        <v>175</v>
      </c>
    </row>
    <row r="30" spans="1:37" x14ac:dyDescent="0.25">
      <c r="A30" s="3" t="s">
        <v>38</v>
      </c>
      <c r="B30" s="3">
        <v>2023</v>
      </c>
      <c r="C30" s="3">
        <v>103373.22868018913</v>
      </c>
      <c r="F30" s="6" t="s">
        <v>34</v>
      </c>
      <c r="G30" s="6">
        <v>2023</v>
      </c>
      <c r="H30" s="6" t="s">
        <v>38</v>
      </c>
      <c r="I30" s="3">
        <v>173.7</v>
      </c>
      <c r="J30" s="3">
        <v>214.3</v>
      </c>
      <c r="K30" s="3">
        <v>173.2</v>
      </c>
      <c r="L30" s="3">
        <v>179.5</v>
      </c>
      <c r="M30" s="3">
        <v>170</v>
      </c>
      <c r="N30" s="3">
        <v>172.2</v>
      </c>
      <c r="O30" s="3">
        <v>161</v>
      </c>
      <c r="P30" s="3">
        <v>175.6</v>
      </c>
      <c r="Q30" s="3">
        <v>122.7</v>
      </c>
      <c r="R30" s="3">
        <v>218</v>
      </c>
      <c r="S30" s="3">
        <v>173.4</v>
      </c>
      <c r="T30" s="3">
        <v>194.2</v>
      </c>
      <c r="U30" s="3">
        <v>179.1</v>
      </c>
      <c r="V30" s="3">
        <v>201</v>
      </c>
      <c r="W30" s="3">
        <v>187.3</v>
      </c>
      <c r="X30" s="3">
        <v>179.7</v>
      </c>
      <c r="Y30" s="3">
        <v>186.2</v>
      </c>
      <c r="Z30" s="3">
        <v>175.6</v>
      </c>
      <c r="AA30" s="3">
        <v>182.8</v>
      </c>
      <c r="AB30" s="3">
        <v>175.2</v>
      </c>
      <c r="AC30" s="3">
        <v>185.7</v>
      </c>
      <c r="AD30" s="3">
        <v>164.8</v>
      </c>
      <c r="AE30" s="3">
        <v>171.2</v>
      </c>
      <c r="AF30" s="3">
        <v>177.1</v>
      </c>
      <c r="AG30" s="3">
        <v>185.2</v>
      </c>
      <c r="AH30" s="3">
        <v>175.7</v>
      </c>
    </row>
    <row r="31" spans="1:37" x14ac:dyDescent="0.25">
      <c r="A31" s="3" t="s">
        <v>39</v>
      </c>
      <c r="B31" s="3">
        <v>2023</v>
      </c>
      <c r="C31" s="3">
        <v>96354.436434161951</v>
      </c>
      <c r="H31" s="21" t="s">
        <v>106</v>
      </c>
      <c r="I31">
        <f>CORREL($C$2:$C$30,I2:I30)</f>
        <v>0.44017675841832837</v>
      </c>
      <c r="J31">
        <f t="shared" ref="J31:AH31" si="0">CORREL($C$2:$C$30,J2:J30)</f>
        <v>0.7926863839513858</v>
      </c>
      <c r="K31">
        <f t="shared" si="0"/>
        <v>-8.3230117728398945E-2</v>
      </c>
      <c r="L31">
        <f t="shared" si="0"/>
        <v>0.52801215784440125</v>
      </c>
      <c r="M31">
        <f t="shared" si="0"/>
        <v>0.75137562864761787</v>
      </c>
      <c r="N31">
        <f t="shared" si="0"/>
        <v>0.52580194973218175</v>
      </c>
      <c r="O31">
        <f t="shared" si="0"/>
        <v>0.32851585542562423</v>
      </c>
      <c r="P31">
        <f t="shared" si="0"/>
        <v>0.32272831877671132</v>
      </c>
      <c r="Q31">
        <f t="shared" si="0"/>
        <v>0.60898859301652353</v>
      </c>
      <c r="R31">
        <f t="shared" si="0"/>
        <v>0.51253296913706503</v>
      </c>
      <c r="S31">
        <f t="shared" si="0"/>
        <v>0.67587166556768097</v>
      </c>
      <c r="T31">
        <f t="shared" si="0"/>
        <v>0.63554887759632284</v>
      </c>
      <c r="U31">
        <f t="shared" si="0"/>
        <v>0.70985767478792183</v>
      </c>
      <c r="V31">
        <f t="shared" si="0"/>
        <v>0.53257184105749322</v>
      </c>
      <c r="W31">
        <f t="shared" si="0"/>
        <v>0.66752105424672459</v>
      </c>
      <c r="X31">
        <f t="shared" si="0"/>
        <v>0.69262835349824214</v>
      </c>
      <c r="Y31">
        <f t="shared" si="0"/>
        <v>0.67177408699418328</v>
      </c>
      <c r="Z31">
        <f t="shared" si="0"/>
        <v>0.58292169810517414</v>
      </c>
      <c r="AA31">
        <f t="shared" si="0"/>
        <v>0.7104715115858139</v>
      </c>
      <c r="AB31">
        <f t="shared" si="0"/>
        <v>0.65447675113762371</v>
      </c>
      <c r="AC31">
        <f t="shared" si="0"/>
        <v>0.61861423178649055</v>
      </c>
      <c r="AD31">
        <f t="shared" si="0"/>
        <v>0.77877919315666566</v>
      </c>
      <c r="AE31">
        <f t="shared" si="0"/>
        <v>0.724267270129197</v>
      </c>
      <c r="AF31">
        <f t="shared" si="0"/>
        <v>0.59640199467194921</v>
      </c>
      <c r="AG31">
        <f t="shared" si="0"/>
        <v>0.55942828642482112</v>
      </c>
      <c r="AH31">
        <f t="shared" si="0"/>
        <v>0.6757403412646209</v>
      </c>
    </row>
    <row r="32" spans="1:37" x14ac:dyDescent="0.25">
      <c r="A32" s="3" t="s">
        <v>40</v>
      </c>
      <c r="B32" s="3">
        <v>2023</v>
      </c>
      <c r="C32" s="3">
        <v>98281.689173179329</v>
      </c>
    </row>
    <row r="33" spans="1:6" x14ac:dyDescent="0.25">
      <c r="A33" s="3" t="s">
        <v>41</v>
      </c>
      <c r="B33" s="3">
        <v>2023</v>
      </c>
      <c r="C33" s="3">
        <v>106575.4170462085</v>
      </c>
    </row>
    <row r="34" spans="1:6" x14ac:dyDescent="0.25">
      <c r="A34" s="3" t="s">
        <v>42</v>
      </c>
      <c r="B34" s="3">
        <v>2023</v>
      </c>
      <c r="C34" s="3">
        <v>107465.75470590092</v>
      </c>
      <c r="E34">
        <v>1</v>
      </c>
      <c r="F34" t="s">
        <v>109</v>
      </c>
    </row>
    <row r="35" spans="1:6" x14ac:dyDescent="0.25">
      <c r="A35" s="3" t="s">
        <v>43</v>
      </c>
      <c r="B35" s="3">
        <v>2023</v>
      </c>
      <c r="C35" s="3">
        <v>118884.75044656513</v>
      </c>
      <c r="F35" t="s">
        <v>111</v>
      </c>
    </row>
    <row r="36" spans="1:6" x14ac:dyDescent="0.25">
      <c r="A36" s="3" t="s">
        <v>45</v>
      </c>
      <c r="B36" s="3">
        <v>2023</v>
      </c>
      <c r="C36" s="3">
        <v>113222.83249196131</v>
      </c>
      <c r="E36">
        <v>2</v>
      </c>
      <c r="F36" t="s">
        <v>110</v>
      </c>
    </row>
    <row r="37" spans="1:6" x14ac:dyDescent="0.25">
      <c r="A37" s="3" t="s">
        <v>46</v>
      </c>
      <c r="B37" s="3">
        <v>2023</v>
      </c>
      <c r="C37" s="3">
        <v>111616.37440974155</v>
      </c>
    </row>
  </sheetData>
  <dataConsolidate/>
  <conditionalFormatting sqref="I28:I1048576 J31:AH31">
    <cfRule type="colorScale" priority="2">
      <colorScale>
        <cfvo type="min"/>
        <cfvo type="max"/>
        <color rgb="FFFF7128"/>
        <color rgb="FFFFEF9C"/>
      </colorScale>
    </cfRule>
  </conditionalFormatting>
  <conditionalFormatting sqref="AK2:AK2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All_India_Index_Upto_April23 (1</vt:lpstr>
      <vt:lpstr>Main Data</vt:lpstr>
      <vt:lpstr>Changes</vt:lpstr>
      <vt:lpstr>Objective 1</vt:lpstr>
      <vt:lpstr>Objective 2</vt:lpstr>
      <vt:lpstr>Objective 3</vt:lpstr>
      <vt:lpstr>Objective 4</vt:lpstr>
      <vt:lpstr>Objective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</dc:creator>
  <cp:lastModifiedBy>anirudhdhanda123@gmail.com</cp:lastModifiedBy>
  <dcterms:created xsi:type="dcterms:W3CDTF">2025-06-15T13:20:36Z</dcterms:created>
  <dcterms:modified xsi:type="dcterms:W3CDTF">2026-04-16T10:51:55Z</dcterms:modified>
</cp:coreProperties>
</file>